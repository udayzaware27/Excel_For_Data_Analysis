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9498E66D-9928-428E-8FBC-BC1243219BD8}" xr6:coauthVersionLast="47" xr6:coauthVersionMax="47" xr10:uidLastSave="{00000000-0000-0000-0000-000000000000}"/>
  <bookViews>
    <workbookView xWindow="-108" yWindow="-108" windowWidth="23256" windowHeight="12456" activeTab="2" xr2:uid="{4923EB12-87B4-497E-9662-F70C93249CA1}"/>
  </bookViews>
  <sheets>
    <sheet name="XLOOKUP" sheetId="1" r:id="rId1"/>
    <sheet name="XLOOKUP_Dynamic" sheetId="6" r:id="rId2"/>
    <sheet name="Xlookup - IF NOT FOUND" sheetId="8" r:id="rId3"/>
    <sheet name="MatchType" sheetId="4" r:id="rId4"/>
    <sheet name="Sear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5" l="1"/>
  <c r="H14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5" i="4"/>
  <c r="J6" i="8" a="1"/>
  <c r="J6" i="8" s="1"/>
  <c r="J7" i="8" a="1"/>
  <c r="J7" i="8" s="1"/>
  <c r="J8" i="8" a="1"/>
  <c r="J8" i="8" s="1"/>
  <c r="J9" i="8" a="1"/>
  <c r="J9" i="8" s="1"/>
  <c r="J10" i="8" a="1"/>
  <c r="J10" i="8" s="1"/>
  <c r="J5" i="8" a="1"/>
  <c r="J5" i="8" s="1"/>
  <c r="G3" i="8"/>
  <c r="R3" i="8"/>
  <c r="G4" i="8"/>
  <c r="R4" i="8"/>
  <c r="G5" i="8"/>
  <c r="R5" i="8"/>
  <c r="G6" i="8"/>
  <c r="R6" i="8"/>
  <c r="G7" i="8"/>
  <c r="R7" i="8"/>
  <c r="G8" i="8"/>
  <c r="R8" i="8"/>
  <c r="G9" i="8"/>
  <c r="R9" i="8"/>
  <c r="G10" i="8"/>
  <c r="R10" i="8"/>
  <c r="G11" i="8"/>
  <c r="R11" i="8"/>
  <c r="G12" i="8"/>
  <c r="R12" i="8"/>
  <c r="G13" i="8"/>
  <c r="R13" i="8"/>
  <c r="G14" i="8"/>
  <c r="R14" i="8"/>
  <c r="G15" i="8"/>
  <c r="R15" i="8"/>
  <c r="G16" i="8"/>
  <c r="R16" i="8"/>
  <c r="G17" i="8"/>
  <c r="R17" i="8"/>
  <c r="G18" i="8"/>
  <c r="R18" i="8"/>
  <c r="G19" i="8"/>
  <c r="R19" i="8"/>
  <c r="G20" i="8"/>
  <c r="R20" i="8"/>
  <c r="G21" i="8"/>
  <c r="R21" i="8"/>
  <c r="G22" i="8"/>
  <c r="R22" i="8"/>
  <c r="G23" i="8"/>
  <c r="R23" i="8"/>
  <c r="G24" i="8"/>
  <c r="R24" i="8"/>
  <c r="G25" i="8"/>
  <c r="R25" i="8"/>
  <c r="G26" i="8"/>
  <c r="R26" i="8"/>
  <c r="G27" i="8"/>
  <c r="R27" i="8"/>
  <c r="G28" i="8"/>
  <c r="R28" i="8"/>
  <c r="G29" i="8"/>
  <c r="R29" i="8"/>
  <c r="G30" i="8"/>
  <c r="R30" i="8"/>
  <c r="G31" i="8"/>
  <c r="R31" i="8"/>
  <c r="G32" i="8"/>
  <c r="R32" i="8"/>
  <c r="G33" i="8"/>
  <c r="R33" i="8"/>
  <c r="G34" i="8"/>
  <c r="R34" i="8"/>
  <c r="G35" i="8"/>
  <c r="R35" i="8"/>
  <c r="G36" i="8"/>
  <c r="R36" i="8"/>
  <c r="G37" i="8"/>
  <c r="R37" i="8"/>
  <c r="G38" i="8"/>
  <c r="R38" i="8"/>
  <c r="G39" i="8"/>
  <c r="R39" i="8"/>
  <c r="G40" i="8"/>
  <c r="R40" i="8"/>
  <c r="G41" i="8"/>
  <c r="R41" i="8"/>
  <c r="G42" i="8"/>
  <c r="R42" i="8"/>
  <c r="G43" i="8"/>
  <c r="R43" i="8"/>
  <c r="G44" i="8"/>
  <c r="R44" i="8"/>
  <c r="G45" i="8"/>
  <c r="R45" i="8"/>
  <c r="G46" i="8"/>
  <c r="R46" i="8"/>
  <c r="G47" i="8"/>
  <c r="R47" i="8"/>
  <c r="G48" i="8"/>
  <c r="R48" i="8"/>
  <c r="G49" i="8"/>
  <c r="R49" i="8"/>
  <c r="G50" i="8"/>
  <c r="R50" i="8"/>
  <c r="G51" i="8"/>
  <c r="R51" i="8"/>
  <c r="G52" i="8"/>
  <c r="R52" i="8"/>
  <c r="G53" i="8"/>
  <c r="R53" i="8"/>
  <c r="G54" i="8"/>
  <c r="R54" i="8"/>
  <c r="G55" i="8"/>
  <c r="R55" i="8"/>
  <c r="G56" i="8"/>
  <c r="R56" i="8"/>
  <c r="G57" i="8"/>
  <c r="R57" i="8"/>
  <c r="G58" i="8"/>
  <c r="R58" i="8"/>
  <c r="G59" i="8"/>
  <c r="R59" i="8"/>
  <c r="G60" i="8"/>
  <c r="R60" i="8"/>
  <c r="G61" i="8"/>
  <c r="R61" i="8"/>
  <c r="G62" i="8"/>
  <c r="R62" i="8"/>
  <c r="G63" i="8"/>
  <c r="R63" i="8"/>
  <c r="G64" i="8"/>
  <c r="R64" i="8"/>
  <c r="G65" i="8"/>
  <c r="R65" i="8"/>
  <c r="G66" i="8"/>
  <c r="R66" i="8"/>
  <c r="G67" i="8"/>
  <c r="R67" i="8"/>
  <c r="G68" i="8"/>
  <c r="R68" i="8"/>
  <c r="G69" i="8"/>
  <c r="R69" i="8"/>
  <c r="G70" i="8"/>
  <c r="R70" i="8"/>
  <c r="G71" i="8"/>
  <c r="R71" i="8"/>
  <c r="G72" i="8"/>
  <c r="R72" i="8"/>
  <c r="G73" i="8"/>
  <c r="R73" i="8"/>
  <c r="G74" i="8"/>
  <c r="R74" i="8"/>
  <c r="G75" i="8"/>
  <c r="R75" i="8"/>
  <c r="G76" i="8"/>
  <c r="R76" i="8"/>
  <c r="G77" i="8"/>
  <c r="R77" i="8"/>
  <c r="G78" i="8"/>
  <c r="R78" i="8"/>
  <c r="G79" i="8"/>
  <c r="R79" i="8"/>
  <c r="G80" i="8"/>
  <c r="R80" i="8"/>
  <c r="G81" i="8"/>
  <c r="R81" i="8"/>
  <c r="G82" i="8"/>
  <c r="R82" i="8"/>
  <c r="G83" i="8"/>
  <c r="R83" i="8"/>
  <c r="G84" i="8"/>
  <c r="R84" i="8"/>
  <c r="G85" i="8"/>
  <c r="R85" i="8"/>
  <c r="G86" i="8"/>
  <c r="R86" i="8"/>
  <c r="G87" i="8"/>
  <c r="R87" i="8"/>
  <c r="G88" i="8"/>
  <c r="R88" i="8"/>
  <c r="G89" i="8"/>
  <c r="R89" i="8"/>
  <c r="G90" i="8"/>
  <c r="R90" i="8"/>
  <c r="G91" i="8"/>
  <c r="R91" i="8"/>
  <c r="G92" i="8"/>
  <c r="R92" i="8"/>
  <c r="G93" i="8"/>
  <c r="R93" i="8"/>
  <c r="G94" i="8"/>
  <c r="R94" i="8"/>
  <c r="G95" i="8"/>
  <c r="R95" i="8"/>
  <c r="G96" i="8"/>
  <c r="R96" i="8"/>
  <c r="G97" i="8"/>
  <c r="R97" i="8"/>
  <c r="G98" i="8"/>
  <c r="R98" i="8"/>
  <c r="G99" i="8"/>
  <c r="R99" i="8"/>
  <c r="G100" i="8"/>
  <c r="R100" i="8"/>
  <c r="G101" i="8"/>
  <c r="R101" i="8"/>
  <c r="G102" i="8"/>
  <c r="R102" i="8"/>
  <c r="K7" i="6" a="1"/>
  <c r="K7" i="6" s="1"/>
  <c r="K8" i="6" a="1"/>
  <c r="K8" i="6" s="1"/>
  <c r="K9" i="6" a="1"/>
  <c r="K9" i="6" s="1"/>
  <c r="K10" i="6" a="1"/>
  <c r="K10" i="6" s="1"/>
  <c r="K11" i="6" a="1"/>
  <c r="K11" i="6" s="1"/>
  <c r="K6" i="6" a="1"/>
  <c r="K6" i="6" s="1"/>
  <c r="K8" i="1"/>
  <c r="K7" i="1"/>
  <c r="K6" i="1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<sst xmlns="http://schemas.openxmlformats.org/spreadsheetml/2006/main" count="2501" uniqueCount="250">
  <si>
    <t>Customer Name</t>
  </si>
  <si>
    <t>Account Number</t>
  </si>
  <si>
    <t>Balance (INR)</t>
  </si>
  <si>
    <t>City</t>
  </si>
  <si>
    <t>Account Type</t>
  </si>
  <si>
    <t>Email</t>
  </si>
  <si>
    <t>Phone Number</t>
  </si>
  <si>
    <t>Aarav Sharma</t>
  </si>
  <si>
    <t>Mumbai</t>
  </si>
  <si>
    <t>Savings</t>
  </si>
  <si>
    <t>customer1@email.com</t>
  </si>
  <si>
    <t>Ananya Singh</t>
  </si>
  <si>
    <t>Delhi</t>
  </si>
  <si>
    <t>Current</t>
  </si>
  <si>
    <t>customer2@email.com</t>
  </si>
  <si>
    <t>Vivaan Kumar</t>
  </si>
  <si>
    <t>Bangalore</t>
  </si>
  <si>
    <t>customer3@email.com</t>
  </si>
  <si>
    <t>Diya Gupta</t>
  </si>
  <si>
    <t>Pune</t>
  </si>
  <si>
    <t>customer4@email.com</t>
  </si>
  <si>
    <t>Ishaan Joshi</t>
  </si>
  <si>
    <t>Hyderabad</t>
  </si>
  <si>
    <t>customer5@email.com</t>
  </si>
  <si>
    <t>Kiara Verma</t>
  </si>
  <si>
    <t>Chennai</t>
  </si>
  <si>
    <t>customer6@email.com</t>
  </si>
  <si>
    <t>Rohan Patel</t>
  </si>
  <si>
    <t>Ahmedabad</t>
  </si>
  <si>
    <t>customer7@email.com</t>
  </si>
  <si>
    <t>Meera Nair</t>
  </si>
  <si>
    <t>Kolkata</t>
  </si>
  <si>
    <t>customer8@email.com</t>
  </si>
  <si>
    <t>Aditya Malhotra</t>
  </si>
  <si>
    <t>Surat</t>
  </si>
  <si>
    <t>customer9@email.com</t>
  </si>
  <si>
    <t>Saanvi Deshmukh</t>
  </si>
  <si>
    <t>Jaipur</t>
  </si>
  <si>
    <t>customer10@email.com</t>
  </si>
  <si>
    <t>customer11@email.com</t>
  </si>
  <si>
    <t>customer12@email.com</t>
  </si>
  <si>
    <t>customer13@email.com</t>
  </si>
  <si>
    <t>customer14@email.com</t>
  </si>
  <si>
    <t>customer15@email.com</t>
  </si>
  <si>
    <t>customer16@email.com</t>
  </si>
  <si>
    <t>customer17@email.com</t>
  </si>
  <si>
    <t>customer18@email.com</t>
  </si>
  <si>
    <t>customer19@email.com</t>
  </si>
  <si>
    <t>customer20@email.com</t>
  </si>
  <si>
    <t>customer21@email.com</t>
  </si>
  <si>
    <t>customer22@email.com</t>
  </si>
  <si>
    <t>customer23@email.com</t>
  </si>
  <si>
    <t>customer24@email.com</t>
  </si>
  <si>
    <t>customer25@email.com</t>
  </si>
  <si>
    <t>customer26@email.com</t>
  </si>
  <si>
    <t>customer27@email.com</t>
  </si>
  <si>
    <t>customer28@email.com</t>
  </si>
  <si>
    <t>customer29@email.com</t>
  </si>
  <si>
    <t>customer30@email.com</t>
  </si>
  <si>
    <t>customer31@email.com</t>
  </si>
  <si>
    <t>customer32@email.com</t>
  </si>
  <si>
    <t>customer33@email.com</t>
  </si>
  <si>
    <t>customer34@email.com</t>
  </si>
  <si>
    <t>customer35@email.com</t>
  </si>
  <si>
    <t>customer36@email.com</t>
  </si>
  <si>
    <t>customer37@email.com</t>
  </si>
  <si>
    <t>customer38@email.com</t>
  </si>
  <si>
    <t>customer39@email.com</t>
  </si>
  <si>
    <t>customer40@email.com</t>
  </si>
  <si>
    <t>customer41@email.com</t>
  </si>
  <si>
    <t>customer42@email.com</t>
  </si>
  <si>
    <t>customer43@email.com</t>
  </si>
  <si>
    <t>customer44@email.com</t>
  </si>
  <si>
    <t>customer45@email.com</t>
  </si>
  <si>
    <t>customer46@email.com</t>
  </si>
  <si>
    <t>customer47@email.com</t>
  </si>
  <si>
    <t>customer48@email.com</t>
  </si>
  <si>
    <t>customer49@email.com</t>
  </si>
  <si>
    <t>customer50@email.com</t>
  </si>
  <si>
    <t>customer51@email.com</t>
  </si>
  <si>
    <t>customer52@email.com</t>
  </si>
  <si>
    <t>customer53@email.com</t>
  </si>
  <si>
    <t>customer54@email.com</t>
  </si>
  <si>
    <t>customer55@email.com</t>
  </si>
  <si>
    <t>customer56@email.com</t>
  </si>
  <si>
    <t>customer57@email.com</t>
  </si>
  <si>
    <t>customer58@email.com</t>
  </si>
  <si>
    <t>customer59@email.com</t>
  </si>
  <si>
    <t>customer60@email.com</t>
  </si>
  <si>
    <t>customer61@email.com</t>
  </si>
  <si>
    <t>customer62@email.com</t>
  </si>
  <si>
    <t>customer63@email.com</t>
  </si>
  <si>
    <t>customer64@email.com</t>
  </si>
  <si>
    <t>customer65@email.com</t>
  </si>
  <si>
    <t>customer66@email.com</t>
  </si>
  <si>
    <t>customer67@email.com</t>
  </si>
  <si>
    <t>customer68@email.com</t>
  </si>
  <si>
    <t>customer69@email.com</t>
  </si>
  <si>
    <t>customer70@email.com</t>
  </si>
  <si>
    <t>customer71@email.com</t>
  </si>
  <si>
    <t>customer72@email.com</t>
  </si>
  <si>
    <t>customer73@email.com</t>
  </si>
  <si>
    <t>customer74@email.com</t>
  </si>
  <si>
    <t>customer75@email.com</t>
  </si>
  <si>
    <t>customer76@email.com</t>
  </si>
  <si>
    <t>customer77@email.com</t>
  </si>
  <si>
    <t>customer78@email.com</t>
  </si>
  <si>
    <t>customer79@email.com</t>
  </si>
  <si>
    <t>customer80@email.com</t>
  </si>
  <si>
    <t>customer81@email.com</t>
  </si>
  <si>
    <t>customer82@email.com</t>
  </si>
  <si>
    <t>customer83@email.com</t>
  </si>
  <si>
    <t>customer84@email.com</t>
  </si>
  <si>
    <t>customer85@email.com</t>
  </si>
  <si>
    <t>customer86@email.com</t>
  </si>
  <si>
    <t>customer87@email.com</t>
  </si>
  <si>
    <t>customer88@email.com</t>
  </si>
  <si>
    <t>customer89@email.com</t>
  </si>
  <si>
    <t>customer90@email.com</t>
  </si>
  <si>
    <t>customer91@email.com</t>
  </si>
  <si>
    <t>customer92@email.com</t>
  </si>
  <si>
    <t>customer93@email.com</t>
  </si>
  <si>
    <t>customer94@email.com</t>
  </si>
  <si>
    <t>customer95@email.com</t>
  </si>
  <si>
    <t>customer96@email.com</t>
  </si>
  <si>
    <t>customer97@email.com</t>
  </si>
  <si>
    <t>customer98@email.com</t>
  </si>
  <si>
    <t>customer99@email.com</t>
  </si>
  <si>
    <t>customer100@email.com</t>
  </si>
  <si>
    <t>customer101@email.com</t>
  </si>
  <si>
    <t>customer102@email.com</t>
  </si>
  <si>
    <t>customer103@email.com</t>
  </si>
  <si>
    <t>customer104@email.com</t>
  </si>
  <si>
    <t>customer105@email.com</t>
  </si>
  <si>
    <t>customer106@email.com</t>
  </si>
  <si>
    <t>customer107@email.com</t>
  </si>
  <si>
    <t>customer108@email.com</t>
  </si>
  <si>
    <t>customer109@email.com</t>
  </si>
  <si>
    <t>customer110@email.com</t>
  </si>
  <si>
    <t>customer111@email.com</t>
  </si>
  <si>
    <t>customer112@email.com</t>
  </si>
  <si>
    <t>customer113@email.com</t>
  </si>
  <si>
    <t>customer114@email.com</t>
  </si>
  <si>
    <t>customer115@email.com</t>
  </si>
  <si>
    <t>customer116@email.com</t>
  </si>
  <si>
    <t>customer117@email.com</t>
  </si>
  <si>
    <t>customer118@email.com</t>
  </si>
  <si>
    <t>customer119@email.com</t>
  </si>
  <si>
    <t>customer120@email.com</t>
  </si>
  <si>
    <t>customer121@email.com</t>
  </si>
  <si>
    <t>customer122@email.com</t>
  </si>
  <si>
    <t>customer123@email.com</t>
  </si>
  <si>
    <t>customer124@email.com</t>
  </si>
  <si>
    <t>customer125@email.com</t>
  </si>
  <si>
    <t>customer126@email.com</t>
  </si>
  <si>
    <t>customer127@email.com</t>
  </si>
  <si>
    <t>customer128@email.com</t>
  </si>
  <si>
    <t>customer129@email.com</t>
  </si>
  <si>
    <t>customer130@email.com</t>
  </si>
  <si>
    <t>customer131@email.com</t>
  </si>
  <si>
    <t>customer132@email.com</t>
  </si>
  <si>
    <t>customer133@email.com</t>
  </si>
  <si>
    <t>customer134@email.com</t>
  </si>
  <si>
    <t>customer135@email.com</t>
  </si>
  <si>
    <t>customer136@email.com</t>
  </si>
  <si>
    <t>customer137@email.com</t>
  </si>
  <si>
    <t>customer138@email.com</t>
  </si>
  <si>
    <t>customer139@email.com</t>
  </si>
  <si>
    <t>customer140@email.com</t>
  </si>
  <si>
    <t>customer141@email.com</t>
  </si>
  <si>
    <t>customer142@email.com</t>
  </si>
  <si>
    <t>customer143@email.com</t>
  </si>
  <si>
    <t>customer144@email.com</t>
  </si>
  <si>
    <t>customer145@email.com</t>
  </si>
  <si>
    <t>customer146@email.com</t>
  </si>
  <si>
    <t>customer147@email.com</t>
  </si>
  <si>
    <t>customer148@email.com</t>
  </si>
  <si>
    <t>customer149@email.com</t>
  </si>
  <si>
    <t>customer150@email.com</t>
  </si>
  <si>
    <t>customer151@email.com</t>
  </si>
  <si>
    <t>customer152@email.com</t>
  </si>
  <si>
    <t>customer153@email.com</t>
  </si>
  <si>
    <t>customer154@email.com</t>
  </si>
  <si>
    <t>customer155@email.com</t>
  </si>
  <si>
    <t>customer156@email.com</t>
  </si>
  <si>
    <t>customer157@email.com</t>
  </si>
  <si>
    <t>customer158@email.com</t>
  </si>
  <si>
    <t>customer159@email.com</t>
  </si>
  <si>
    <t>customer160@email.com</t>
  </si>
  <si>
    <t>customer161@email.com</t>
  </si>
  <si>
    <t>customer162@email.com</t>
  </si>
  <si>
    <t>customer163@email.com</t>
  </si>
  <si>
    <t>customer164@email.com</t>
  </si>
  <si>
    <t>customer165@email.com</t>
  </si>
  <si>
    <t>customer166@email.com</t>
  </si>
  <si>
    <t>customer167@email.com</t>
  </si>
  <si>
    <t>customer168@email.com</t>
  </si>
  <si>
    <t>customer169@email.com</t>
  </si>
  <si>
    <t>customer170@email.com</t>
  </si>
  <si>
    <t>customer171@email.com</t>
  </si>
  <si>
    <t>customer172@email.com</t>
  </si>
  <si>
    <t>customer173@email.com</t>
  </si>
  <si>
    <t>customer174@email.com</t>
  </si>
  <si>
    <t>customer175@email.com</t>
  </si>
  <si>
    <t>customer176@email.com</t>
  </si>
  <si>
    <t>customer177@email.com</t>
  </si>
  <si>
    <t>customer178@email.com</t>
  </si>
  <si>
    <t>customer179@email.com</t>
  </si>
  <si>
    <t>customer180@email.com</t>
  </si>
  <si>
    <t>customer181@email.com</t>
  </si>
  <si>
    <t>customer182@email.com</t>
  </si>
  <si>
    <t>customer183@email.com</t>
  </si>
  <si>
    <t>customer184@email.com</t>
  </si>
  <si>
    <t>customer185@email.com</t>
  </si>
  <si>
    <t>customer186@email.com</t>
  </si>
  <si>
    <t>customer187@email.com</t>
  </si>
  <si>
    <t>customer188@email.com</t>
  </si>
  <si>
    <t>customer189@email.com</t>
  </si>
  <si>
    <t>customer190@email.com</t>
  </si>
  <si>
    <t>customer191@email.com</t>
  </si>
  <si>
    <t>customer192@email.com</t>
  </si>
  <si>
    <t>customer193@email.com</t>
  </si>
  <si>
    <t>customer194@email.com</t>
  </si>
  <si>
    <t>customer195@email.com</t>
  </si>
  <si>
    <t>customer196@email.com</t>
  </si>
  <si>
    <t>customer197@email.com</t>
  </si>
  <si>
    <t>customer198@email.com</t>
  </si>
  <si>
    <t>customer199@email.com</t>
  </si>
  <si>
    <t>customer200@email.com</t>
  </si>
  <si>
    <t>MatchType</t>
  </si>
  <si>
    <t>Saving Account</t>
  </si>
  <si>
    <t>Current Account</t>
  </si>
  <si>
    <t>Last 3 Months Average Balance</t>
  </si>
  <si>
    <t>Credit Card Limit</t>
  </si>
  <si>
    <t>Ankit Gupta</t>
  </si>
  <si>
    <t>Vinod Singh</t>
  </si>
  <si>
    <t>Wildcard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</si>
  <si>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</si>
  <si>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</si>
  <si>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</si>
  <si>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</si>
  <si>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</si>
  <si>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</si>
  <si>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</si>
  <si>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</si>
  <si>
    <t>Vinod</t>
  </si>
  <si>
    <t>Search</t>
  </si>
  <si>
    <t>Xlookup - IF NOT FOUND</t>
  </si>
  <si>
    <t>XLOOKUP_Dynamic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</si>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</sst>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B11-4B16-446F-B7BA-DFD06DAA623F}">
  <dimension ref="A1:K201"/>
  <sheetViews>
    <sheetView topLeftCell="C1" zoomScale="115" zoomScaleNormal="115" workbookViewId="0">
      <selection activeCell="K15" sqref="K15"/>
    </sheetView>
  </sheetViews>
  <sheetFormatPr defaultRowHeight="14.4" x14ac:dyDescent="0.3"/>
  <cols>
    <col min="1" max="1" width="18.5546875" customWidth="1"/>
    <col min="2" max="2" width="21.109375" customWidth="1"/>
    <col min="3" max="3" width="18.33203125" customWidth="1"/>
    <col min="4" max="4" width="21.6640625" customWidth="1"/>
    <col min="5" max="5" width="22" customWidth="1"/>
    <col min="6" max="6" width="25.33203125" customWidth="1"/>
    <col min="7" max="7" width="22.77734375" customWidth="1"/>
    <col min="10" max="10" width="19" customWidth="1"/>
    <col min="11" max="11" width="19.6640625" customWidth="1"/>
  </cols>
  <sheetData>
    <row r="1" spans="1:11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ht="15" thickBot="1" x14ac:dyDescent="0.35">
      <c r="A2" s="5" t="s">
        <v>7</v>
      </c>
      <c r="B2" s="5">
        <v>1000000001</v>
      </c>
      <c r="C2" s="5">
        <v>50000</v>
      </c>
      <c r="D2" s="5" t="s">
        <v>8</v>
      </c>
      <c r="E2" s="5" t="s">
        <v>9</v>
      </c>
      <c r="F2" s="5" t="s">
        <v>10</v>
      </c>
      <c r="G2" s="3">
        <f>91 +91987650000</f>
        <v>91987650091</v>
      </c>
    </row>
    <row r="3" spans="1:11" ht="15" thickBot="1" x14ac:dyDescent="0.35">
      <c r="A3" s="5" t="s">
        <v>11</v>
      </c>
      <c r="B3" s="5">
        <v>1000000002</v>
      </c>
      <c r="C3" s="5">
        <v>75000</v>
      </c>
      <c r="D3" s="5" t="s">
        <v>12</v>
      </c>
      <c r="E3" s="5" t="s">
        <v>13</v>
      </c>
      <c r="F3" s="5" t="s">
        <v>14</v>
      </c>
      <c r="G3" s="5">
        <f>91 +91987650001</f>
        <v>91987650092</v>
      </c>
      <c r="J3" s="21" t="s">
        <v>249</v>
      </c>
      <c r="K3" s="21"/>
    </row>
    <row r="4" spans="1:11" ht="15" thickBot="1" x14ac:dyDescent="0.35">
      <c r="A4" s="5" t="s">
        <v>15</v>
      </c>
      <c r="B4" s="5">
        <v>1000000003</v>
      </c>
      <c r="C4" s="5">
        <v>120000</v>
      </c>
      <c r="D4" s="5" t="s">
        <v>16</v>
      </c>
      <c r="E4" s="5" t="s">
        <v>9</v>
      </c>
      <c r="F4" s="5" t="s">
        <v>17</v>
      </c>
      <c r="G4" s="5">
        <f>91 +91987650002</f>
        <v>91987650093</v>
      </c>
    </row>
    <row r="5" spans="1:11" ht="15" thickBot="1" x14ac:dyDescent="0.35">
      <c r="A5" s="5" t="s">
        <v>18</v>
      </c>
      <c r="B5" s="5">
        <v>1000000004</v>
      </c>
      <c r="C5" s="5">
        <v>45000</v>
      </c>
      <c r="D5" s="5" t="s">
        <v>19</v>
      </c>
      <c r="E5" s="5" t="s">
        <v>13</v>
      </c>
      <c r="F5" s="5" t="s">
        <v>20</v>
      </c>
      <c r="G5" s="5">
        <f>91 +91987650003</f>
        <v>91987650094</v>
      </c>
      <c r="J5" s="6" t="s">
        <v>1</v>
      </c>
      <c r="K5" s="5">
        <v>1000000007</v>
      </c>
    </row>
    <row r="6" spans="1:11" ht="15" thickBot="1" x14ac:dyDescent="0.35">
      <c r="A6" s="5" t="s">
        <v>21</v>
      </c>
      <c r="B6" s="5">
        <v>1000000005</v>
      </c>
      <c r="C6" s="5">
        <v>98000</v>
      </c>
      <c r="D6" s="5" t="s">
        <v>22</v>
      </c>
      <c r="E6" s="5" t="s">
        <v>9</v>
      </c>
      <c r="F6" s="5" t="s">
        <v>23</v>
      </c>
      <c r="G6" s="5">
        <f>91 +91987650004</f>
        <v>91987650095</v>
      </c>
      <c r="J6" s="4" t="s">
        <v>0</v>
      </c>
      <c r="K6" t="str">
        <f>_xlfn.XLOOKUP(K5,B2:B201,A2:A201)</f>
        <v>Rohan Patel</v>
      </c>
    </row>
    <row r="7" spans="1:11" ht="15" thickBot="1" x14ac:dyDescent="0.35">
      <c r="A7" s="5" t="s">
        <v>24</v>
      </c>
      <c r="B7" s="5">
        <v>1000000006</v>
      </c>
      <c r="C7" s="5">
        <v>67000</v>
      </c>
      <c r="D7" s="5" t="s">
        <v>25</v>
      </c>
      <c r="E7" s="5" t="s">
        <v>13</v>
      </c>
      <c r="F7" s="5" t="s">
        <v>26</v>
      </c>
      <c r="G7" s="5">
        <f>91 +91987650005</f>
        <v>91987650096</v>
      </c>
      <c r="J7" s="4" t="s">
        <v>2</v>
      </c>
      <c r="K7">
        <f>_xlfn.XLOOKUP(K5,B1:B201,C1:C201)</f>
        <v>56000</v>
      </c>
    </row>
    <row r="8" spans="1:11" ht="15" thickBot="1" x14ac:dyDescent="0.35">
      <c r="A8" s="5" t="s">
        <v>27</v>
      </c>
      <c r="B8" s="5">
        <v>1000000007</v>
      </c>
      <c r="C8" s="5">
        <v>56000</v>
      </c>
      <c r="D8" s="5" t="s">
        <v>28</v>
      </c>
      <c r="E8" s="5" t="s">
        <v>9</v>
      </c>
      <c r="F8" s="5" t="s">
        <v>29</v>
      </c>
      <c r="G8" s="5">
        <f>91 +91987650006</f>
        <v>91987650097</v>
      </c>
      <c r="J8" s="4" t="s">
        <v>3</v>
      </c>
      <c r="K8" t="str">
        <f>_xlfn.XLOOKUP(K5,B1:B201,D1:D201)</f>
        <v>Ahmedabad</v>
      </c>
    </row>
    <row r="9" spans="1:11" ht="15" thickBot="1" x14ac:dyDescent="0.35">
      <c r="A9" s="5" t="s">
        <v>30</v>
      </c>
      <c r="B9" s="5">
        <v>1000000008</v>
      </c>
      <c r="C9" s="5">
        <v>89000</v>
      </c>
      <c r="D9" s="5" t="s">
        <v>31</v>
      </c>
      <c r="E9" s="5" t="s">
        <v>13</v>
      </c>
      <c r="F9" s="5" t="s">
        <v>32</v>
      </c>
      <c r="G9" s="5">
        <f>91 +91987650007</f>
        <v>91987650098</v>
      </c>
      <c r="J9" s="4" t="s">
        <v>4</v>
      </c>
    </row>
    <row r="10" spans="1:11" ht="15" thickBot="1" x14ac:dyDescent="0.35">
      <c r="A10" s="5" t="s">
        <v>33</v>
      </c>
      <c r="B10" s="5">
        <v>1000000009</v>
      </c>
      <c r="C10" s="5">
        <v>46000</v>
      </c>
      <c r="D10" s="5" t="s">
        <v>34</v>
      </c>
      <c r="E10" s="5" t="s">
        <v>9</v>
      </c>
      <c r="F10" s="5" t="s">
        <v>35</v>
      </c>
      <c r="G10" s="5">
        <f>91 +91987650008</f>
        <v>91987650099</v>
      </c>
      <c r="J10" s="4" t="s">
        <v>5</v>
      </c>
    </row>
    <row r="11" spans="1:11" ht="15" thickBot="1" x14ac:dyDescent="0.35">
      <c r="A11" s="5" t="s">
        <v>36</v>
      </c>
      <c r="B11" s="5">
        <v>1000000010</v>
      </c>
      <c r="C11" s="5">
        <v>77000</v>
      </c>
      <c r="D11" s="5" t="s">
        <v>37</v>
      </c>
      <c r="E11" s="5" t="s">
        <v>13</v>
      </c>
      <c r="F11" s="5" t="s">
        <v>38</v>
      </c>
      <c r="G11" s="5">
        <f>91 +91987650009</f>
        <v>91987650100</v>
      </c>
      <c r="J11" s="4" t="s">
        <v>6</v>
      </c>
    </row>
    <row r="12" spans="1:11" ht="15" thickBot="1" x14ac:dyDescent="0.35">
      <c r="A12" s="5" t="s">
        <v>7</v>
      </c>
      <c r="B12" s="5">
        <v>1000000011</v>
      </c>
      <c r="C12" s="5">
        <v>50000</v>
      </c>
      <c r="D12" s="5" t="s">
        <v>8</v>
      </c>
      <c r="E12" s="5" t="s">
        <v>9</v>
      </c>
      <c r="F12" s="5" t="s">
        <v>39</v>
      </c>
      <c r="G12" s="5">
        <f>91 +91987650010</f>
        <v>91987650101</v>
      </c>
    </row>
    <row r="13" spans="1:11" ht="15" thickBot="1" x14ac:dyDescent="0.35">
      <c r="A13" s="5" t="s">
        <v>11</v>
      </c>
      <c r="B13" s="5">
        <v>1000000012</v>
      </c>
      <c r="C13" s="5">
        <v>75000</v>
      </c>
      <c r="D13" s="5" t="s">
        <v>12</v>
      </c>
      <c r="E13" s="5" t="s">
        <v>13</v>
      </c>
      <c r="F13" s="5" t="s">
        <v>40</v>
      </c>
      <c r="G13" s="5">
        <f>91 +91987650011</f>
        <v>91987650102</v>
      </c>
    </row>
    <row r="14" spans="1:11" ht="15" thickBot="1" x14ac:dyDescent="0.35">
      <c r="A14" s="5" t="s">
        <v>15</v>
      </c>
      <c r="B14" s="5">
        <v>1000000013</v>
      </c>
      <c r="C14" s="5">
        <v>120000</v>
      </c>
      <c r="D14" s="5" t="s">
        <v>16</v>
      </c>
      <c r="E14" s="5" t="s">
        <v>9</v>
      </c>
      <c r="F14" s="5" t="s">
        <v>41</v>
      </c>
      <c r="G14" s="5">
        <f>91 +91987650012</f>
        <v>91987650103</v>
      </c>
    </row>
    <row r="15" spans="1:11" ht="15" thickBot="1" x14ac:dyDescent="0.35">
      <c r="A15" s="5" t="s">
        <v>18</v>
      </c>
      <c r="B15" s="5">
        <v>1000000014</v>
      </c>
      <c r="C15" s="5">
        <v>45000</v>
      </c>
      <c r="D15" s="5" t="s">
        <v>19</v>
      </c>
      <c r="E15" s="5" t="s">
        <v>13</v>
      </c>
      <c r="F15" s="5" t="s">
        <v>42</v>
      </c>
      <c r="G15" s="5">
        <f>91 +91987650013</f>
        <v>91987650104</v>
      </c>
    </row>
    <row r="16" spans="1:11" ht="15" thickBot="1" x14ac:dyDescent="0.35">
      <c r="A16" s="5" t="s">
        <v>21</v>
      </c>
      <c r="B16" s="5">
        <v>1000000015</v>
      </c>
      <c r="C16" s="5">
        <v>98000</v>
      </c>
      <c r="D16" s="5" t="s">
        <v>22</v>
      </c>
      <c r="E16" s="5" t="s">
        <v>9</v>
      </c>
      <c r="F16" s="5" t="s">
        <v>43</v>
      </c>
      <c r="G16" s="5">
        <f>91 +91987650014</f>
        <v>91987650105</v>
      </c>
    </row>
    <row r="17" spans="1:7" ht="15" thickBot="1" x14ac:dyDescent="0.35">
      <c r="A17" s="5" t="s">
        <v>24</v>
      </c>
      <c r="B17" s="5">
        <v>1000000016</v>
      </c>
      <c r="C17" s="5">
        <v>67000</v>
      </c>
      <c r="D17" s="5" t="s">
        <v>25</v>
      </c>
      <c r="E17" s="5" t="s">
        <v>13</v>
      </c>
      <c r="F17" s="5" t="s">
        <v>44</v>
      </c>
      <c r="G17" s="5">
        <f>91 +91987650015</f>
        <v>91987650106</v>
      </c>
    </row>
    <row r="18" spans="1:7" ht="15" thickBot="1" x14ac:dyDescent="0.35">
      <c r="A18" s="5" t="s">
        <v>27</v>
      </c>
      <c r="B18" s="5">
        <v>1000000017</v>
      </c>
      <c r="C18" s="5">
        <v>56000</v>
      </c>
      <c r="D18" s="5" t="s">
        <v>28</v>
      </c>
      <c r="E18" s="5" t="s">
        <v>9</v>
      </c>
      <c r="F18" s="5" t="s">
        <v>45</v>
      </c>
      <c r="G18" s="5">
        <f>91 +91987650016</f>
        <v>91987650107</v>
      </c>
    </row>
    <row r="19" spans="1:7" ht="15" thickBot="1" x14ac:dyDescent="0.35">
      <c r="A19" s="5" t="s">
        <v>30</v>
      </c>
      <c r="B19" s="5">
        <v>1000000018</v>
      </c>
      <c r="C19" s="5">
        <v>89000</v>
      </c>
      <c r="D19" s="5" t="s">
        <v>31</v>
      </c>
      <c r="E19" s="5" t="s">
        <v>13</v>
      </c>
      <c r="F19" s="5" t="s">
        <v>46</v>
      </c>
      <c r="G19" s="5">
        <f>91 +91987650017</f>
        <v>91987650108</v>
      </c>
    </row>
    <row r="20" spans="1:7" ht="15" thickBot="1" x14ac:dyDescent="0.35">
      <c r="A20" s="5" t="s">
        <v>33</v>
      </c>
      <c r="B20" s="5">
        <v>1000000019</v>
      </c>
      <c r="C20" s="5">
        <v>46000</v>
      </c>
      <c r="D20" s="5" t="s">
        <v>34</v>
      </c>
      <c r="E20" s="5" t="s">
        <v>9</v>
      </c>
      <c r="F20" s="5" t="s">
        <v>47</v>
      </c>
      <c r="G20" s="5">
        <f>91 +91987650018</f>
        <v>91987650109</v>
      </c>
    </row>
    <row r="21" spans="1:7" ht="15" thickBot="1" x14ac:dyDescent="0.35">
      <c r="A21" s="5" t="s">
        <v>36</v>
      </c>
      <c r="B21" s="5">
        <v>1000000020</v>
      </c>
      <c r="C21" s="5">
        <v>77000</v>
      </c>
      <c r="D21" s="5" t="s">
        <v>37</v>
      </c>
      <c r="E21" s="5" t="s">
        <v>13</v>
      </c>
      <c r="F21" s="5" t="s">
        <v>48</v>
      </c>
      <c r="G21" s="5">
        <f>91 +91987650019</f>
        <v>91987650110</v>
      </c>
    </row>
    <row r="22" spans="1:7" ht="15" thickBot="1" x14ac:dyDescent="0.35">
      <c r="A22" s="5" t="s">
        <v>7</v>
      </c>
      <c r="B22" s="5">
        <v>1000000021</v>
      </c>
      <c r="C22" s="5">
        <v>50000</v>
      </c>
      <c r="D22" s="5" t="s">
        <v>8</v>
      </c>
      <c r="E22" s="5" t="s">
        <v>9</v>
      </c>
      <c r="F22" s="5" t="s">
        <v>49</v>
      </c>
      <c r="G22" s="5">
        <f>91 +91987650020</f>
        <v>91987650111</v>
      </c>
    </row>
    <row r="23" spans="1:7" ht="15" thickBot="1" x14ac:dyDescent="0.35">
      <c r="A23" s="5" t="s">
        <v>11</v>
      </c>
      <c r="B23" s="5">
        <v>1000000022</v>
      </c>
      <c r="C23" s="5">
        <v>75000</v>
      </c>
      <c r="D23" s="5" t="s">
        <v>12</v>
      </c>
      <c r="E23" s="5" t="s">
        <v>13</v>
      </c>
      <c r="F23" s="5" t="s">
        <v>50</v>
      </c>
      <c r="G23" s="5">
        <f>91 +91987650021</f>
        <v>91987650112</v>
      </c>
    </row>
    <row r="24" spans="1:7" ht="15" thickBot="1" x14ac:dyDescent="0.35">
      <c r="A24" s="5" t="s">
        <v>15</v>
      </c>
      <c r="B24" s="5">
        <v>1000000023</v>
      </c>
      <c r="C24" s="5">
        <v>120000</v>
      </c>
      <c r="D24" s="5" t="s">
        <v>16</v>
      </c>
      <c r="E24" s="5" t="s">
        <v>9</v>
      </c>
      <c r="F24" s="5" t="s">
        <v>51</v>
      </c>
      <c r="G24" s="5">
        <f>91 +91987650022</f>
        <v>91987650113</v>
      </c>
    </row>
    <row r="25" spans="1:7" ht="15" thickBot="1" x14ac:dyDescent="0.35">
      <c r="A25" s="5" t="s">
        <v>18</v>
      </c>
      <c r="B25" s="5">
        <v>1000000024</v>
      </c>
      <c r="C25" s="5">
        <v>45000</v>
      </c>
      <c r="D25" s="5" t="s">
        <v>19</v>
      </c>
      <c r="E25" s="5" t="s">
        <v>13</v>
      </c>
      <c r="F25" s="5" t="s">
        <v>52</v>
      </c>
      <c r="G25" s="5">
        <f>91 +91987650023</f>
        <v>91987650114</v>
      </c>
    </row>
    <row r="26" spans="1:7" ht="15" thickBot="1" x14ac:dyDescent="0.35">
      <c r="A26" s="5" t="s">
        <v>21</v>
      </c>
      <c r="B26" s="5">
        <v>1000000025</v>
      </c>
      <c r="C26" s="5">
        <v>98000</v>
      </c>
      <c r="D26" s="5" t="s">
        <v>22</v>
      </c>
      <c r="E26" s="5" t="s">
        <v>9</v>
      </c>
      <c r="F26" s="5" t="s">
        <v>53</v>
      </c>
      <c r="G26" s="5">
        <f>91 +91987650024</f>
        <v>91987650115</v>
      </c>
    </row>
    <row r="27" spans="1:7" ht="15" thickBot="1" x14ac:dyDescent="0.35">
      <c r="A27" s="5" t="s">
        <v>24</v>
      </c>
      <c r="B27" s="5">
        <v>1000000026</v>
      </c>
      <c r="C27" s="5">
        <v>67000</v>
      </c>
      <c r="D27" s="5" t="s">
        <v>25</v>
      </c>
      <c r="E27" s="5" t="s">
        <v>13</v>
      </c>
      <c r="F27" s="5" t="s">
        <v>54</v>
      </c>
      <c r="G27" s="5">
        <f>91 +91987650025</f>
        <v>91987650116</v>
      </c>
    </row>
    <row r="28" spans="1:7" ht="15" thickBot="1" x14ac:dyDescent="0.35">
      <c r="A28" s="5" t="s">
        <v>27</v>
      </c>
      <c r="B28" s="5">
        <v>1000000027</v>
      </c>
      <c r="C28" s="5">
        <v>56000</v>
      </c>
      <c r="D28" s="5" t="s">
        <v>28</v>
      </c>
      <c r="E28" s="5" t="s">
        <v>9</v>
      </c>
      <c r="F28" s="5" t="s">
        <v>55</v>
      </c>
      <c r="G28" s="5">
        <f>91 +91987650026</f>
        <v>91987650117</v>
      </c>
    </row>
    <row r="29" spans="1:7" ht="15" thickBot="1" x14ac:dyDescent="0.35">
      <c r="A29" s="5" t="s">
        <v>30</v>
      </c>
      <c r="B29" s="5">
        <v>1000000028</v>
      </c>
      <c r="C29" s="5">
        <v>89000</v>
      </c>
      <c r="D29" s="5" t="s">
        <v>31</v>
      </c>
      <c r="E29" s="5" t="s">
        <v>13</v>
      </c>
      <c r="F29" s="5" t="s">
        <v>56</v>
      </c>
      <c r="G29" s="5">
        <f>91 +91987650027</f>
        <v>91987650118</v>
      </c>
    </row>
    <row r="30" spans="1:7" ht="15" thickBot="1" x14ac:dyDescent="0.35">
      <c r="A30" s="5" t="s">
        <v>33</v>
      </c>
      <c r="B30" s="5">
        <v>1000000029</v>
      </c>
      <c r="C30" s="5">
        <v>46000</v>
      </c>
      <c r="D30" s="5" t="s">
        <v>34</v>
      </c>
      <c r="E30" s="5" t="s">
        <v>9</v>
      </c>
      <c r="F30" s="5" t="s">
        <v>57</v>
      </c>
      <c r="G30" s="5">
        <f>91 +91987650028</f>
        <v>91987650119</v>
      </c>
    </row>
    <row r="31" spans="1:7" ht="15" thickBot="1" x14ac:dyDescent="0.35">
      <c r="A31" s="5" t="s">
        <v>36</v>
      </c>
      <c r="B31" s="5">
        <v>1000000030</v>
      </c>
      <c r="C31" s="5">
        <v>77000</v>
      </c>
      <c r="D31" s="5" t="s">
        <v>37</v>
      </c>
      <c r="E31" s="5" t="s">
        <v>13</v>
      </c>
      <c r="F31" s="5" t="s">
        <v>58</v>
      </c>
      <c r="G31" s="5">
        <f>91 +91987650029</f>
        <v>91987650120</v>
      </c>
    </row>
    <row r="32" spans="1:7" ht="15" thickBot="1" x14ac:dyDescent="0.35">
      <c r="A32" s="5" t="s">
        <v>7</v>
      </c>
      <c r="B32" s="5">
        <v>1000000031</v>
      </c>
      <c r="C32" s="5">
        <v>50000</v>
      </c>
      <c r="D32" s="5" t="s">
        <v>8</v>
      </c>
      <c r="E32" s="5" t="s">
        <v>9</v>
      </c>
      <c r="F32" s="5" t="s">
        <v>59</v>
      </c>
      <c r="G32" s="5">
        <f>91 +91987650030</f>
        <v>91987650121</v>
      </c>
    </row>
    <row r="33" spans="1:7" ht="15" thickBot="1" x14ac:dyDescent="0.35">
      <c r="A33" s="5" t="s">
        <v>11</v>
      </c>
      <c r="B33" s="5">
        <v>1000000032</v>
      </c>
      <c r="C33" s="5">
        <v>75000</v>
      </c>
      <c r="D33" s="5" t="s">
        <v>12</v>
      </c>
      <c r="E33" s="5" t="s">
        <v>13</v>
      </c>
      <c r="F33" s="5" t="s">
        <v>60</v>
      </c>
      <c r="G33" s="5">
        <f>91 +91987650031</f>
        <v>91987650122</v>
      </c>
    </row>
    <row r="34" spans="1:7" ht="15" thickBot="1" x14ac:dyDescent="0.35">
      <c r="A34" s="5" t="s">
        <v>15</v>
      </c>
      <c r="B34" s="5">
        <v>1000000033</v>
      </c>
      <c r="C34" s="5">
        <v>120000</v>
      </c>
      <c r="D34" s="5" t="s">
        <v>16</v>
      </c>
      <c r="E34" s="5" t="s">
        <v>9</v>
      </c>
      <c r="F34" s="5" t="s">
        <v>61</v>
      </c>
      <c r="G34" s="5">
        <f>91 +91987650032</f>
        <v>91987650123</v>
      </c>
    </row>
    <row r="35" spans="1:7" ht="15" thickBot="1" x14ac:dyDescent="0.35">
      <c r="A35" s="5" t="s">
        <v>18</v>
      </c>
      <c r="B35" s="5">
        <v>1000000034</v>
      </c>
      <c r="C35" s="5">
        <v>45000</v>
      </c>
      <c r="D35" s="5" t="s">
        <v>19</v>
      </c>
      <c r="E35" s="5" t="s">
        <v>13</v>
      </c>
      <c r="F35" s="5" t="s">
        <v>62</v>
      </c>
      <c r="G35" s="5">
        <f>91 +91987650033</f>
        <v>91987650124</v>
      </c>
    </row>
    <row r="36" spans="1:7" ht="15" thickBot="1" x14ac:dyDescent="0.35">
      <c r="A36" s="5" t="s">
        <v>21</v>
      </c>
      <c r="B36" s="5">
        <v>1000000035</v>
      </c>
      <c r="C36" s="5">
        <v>98000</v>
      </c>
      <c r="D36" s="5" t="s">
        <v>22</v>
      </c>
      <c r="E36" s="5" t="s">
        <v>9</v>
      </c>
      <c r="F36" s="5" t="s">
        <v>63</v>
      </c>
      <c r="G36" s="5">
        <f>91 +91987650034</f>
        <v>91987650125</v>
      </c>
    </row>
    <row r="37" spans="1:7" ht="15" thickBot="1" x14ac:dyDescent="0.35">
      <c r="A37" s="5" t="s">
        <v>24</v>
      </c>
      <c r="B37" s="5">
        <v>1000000036</v>
      </c>
      <c r="C37" s="5">
        <v>67000</v>
      </c>
      <c r="D37" s="5" t="s">
        <v>25</v>
      </c>
      <c r="E37" s="5" t="s">
        <v>13</v>
      </c>
      <c r="F37" s="5" t="s">
        <v>64</v>
      </c>
      <c r="G37" s="5">
        <f>91 +91987650035</f>
        <v>91987650126</v>
      </c>
    </row>
    <row r="38" spans="1:7" ht="15" thickBot="1" x14ac:dyDescent="0.35">
      <c r="A38" s="5" t="s">
        <v>27</v>
      </c>
      <c r="B38" s="5">
        <v>1000000037</v>
      </c>
      <c r="C38" s="5">
        <v>56000</v>
      </c>
      <c r="D38" s="5" t="s">
        <v>28</v>
      </c>
      <c r="E38" s="5" t="s">
        <v>9</v>
      </c>
      <c r="F38" s="5" t="s">
        <v>65</v>
      </c>
      <c r="G38" s="5">
        <f>91 +91987650036</f>
        <v>91987650127</v>
      </c>
    </row>
    <row r="39" spans="1:7" ht="15" thickBot="1" x14ac:dyDescent="0.35">
      <c r="A39" s="5" t="s">
        <v>30</v>
      </c>
      <c r="B39" s="5">
        <v>1000000038</v>
      </c>
      <c r="C39" s="5">
        <v>89000</v>
      </c>
      <c r="D39" s="5" t="s">
        <v>31</v>
      </c>
      <c r="E39" s="5" t="s">
        <v>13</v>
      </c>
      <c r="F39" s="5" t="s">
        <v>66</v>
      </c>
      <c r="G39" s="5">
        <f>91 +91987650037</f>
        <v>91987650128</v>
      </c>
    </row>
    <row r="40" spans="1:7" ht="15" thickBot="1" x14ac:dyDescent="0.35">
      <c r="A40" s="5" t="s">
        <v>33</v>
      </c>
      <c r="B40" s="5">
        <v>1000000039</v>
      </c>
      <c r="C40" s="5">
        <v>46000</v>
      </c>
      <c r="D40" s="5" t="s">
        <v>34</v>
      </c>
      <c r="E40" s="5" t="s">
        <v>9</v>
      </c>
      <c r="F40" s="5" t="s">
        <v>67</v>
      </c>
      <c r="G40" s="5">
        <f>91 +91987650038</f>
        <v>91987650129</v>
      </c>
    </row>
    <row r="41" spans="1:7" ht="15" thickBot="1" x14ac:dyDescent="0.35">
      <c r="A41" s="5" t="s">
        <v>36</v>
      </c>
      <c r="B41" s="5">
        <v>1000000040</v>
      </c>
      <c r="C41" s="5">
        <v>77000</v>
      </c>
      <c r="D41" s="5" t="s">
        <v>37</v>
      </c>
      <c r="E41" s="5" t="s">
        <v>13</v>
      </c>
      <c r="F41" s="5" t="s">
        <v>68</v>
      </c>
      <c r="G41" s="5">
        <f>91 +91987650039</f>
        <v>91987650130</v>
      </c>
    </row>
    <row r="42" spans="1:7" ht="15" thickBot="1" x14ac:dyDescent="0.35">
      <c r="A42" s="5" t="s">
        <v>7</v>
      </c>
      <c r="B42" s="5">
        <v>1000000041</v>
      </c>
      <c r="C42" s="5">
        <v>50000</v>
      </c>
      <c r="D42" s="5" t="s">
        <v>8</v>
      </c>
      <c r="E42" s="5" t="s">
        <v>9</v>
      </c>
      <c r="F42" s="5" t="s">
        <v>69</v>
      </c>
      <c r="G42" s="5">
        <f>91 +91987650040</f>
        <v>91987650131</v>
      </c>
    </row>
    <row r="43" spans="1:7" ht="15" thickBot="1" x14ac:dyDescent="0.35">
      <c r="A43" s="5" t="s">
        <v>11</v>
      </c>
      <c r="B43" s="5">
        <v>1000000042</v>
      </c>
      <c r="C43" s="5">
        <v>75000</v>
      </c>
      <c r="D43" s="5" t="s">
        <v>12</v>
      </c>
      <c r="E43" s="5" t="s">
        <v>13</v>
      </c>
      <c r="F43" s="5" t="s">
        <v>70</v>
      </c>
      <c r="G43" s="5">
        <f>91 +91987650041</f>
        <v>91987650132</v>
      </c>
    </row>
    <row r="44" spans="1:7" ht="15" thickBot="1" x14ac:dyDescent="0.35">
      <c r="A44" s="5" t="s">
        <v>15</v>
      </c>
      <c r="B44" s="5">
        <v>1000000043</v>
      </c>
      <c r="C44" s="5">
        <v>120000</v>
      </c>
      <c r="D44" s="5" t="s">
        <v>16</v>
      </c>
      <c r="E44" s="5" t="s">
        <v>9</v>
      </c>
      <c r="F44" s="5" t="s">
        <v>71</v>
      </c>
      <c r="G44" s="5">
        <f>91 +91987650042</f>
        <v>91987650133</v>
      </c>
    </row>
    <row r="45" spans="1:7" ht="15" thickBot="1" x14ac:dyDescent="0.35">
      <c r="A45" s="5" t="s">
        <v>18</v>
      </c>
      <c r="B45" s="5">
        <v>1000000044</v>
      </c>
      <c r="C45" s="5">
        <v>45000</v>
      </c>
      <c r="D45" s="5" t="s">
        <v>19</v>
      </c>
      <c r="E45" s="5" t="s">
        <v>13</v>
      </c>
      <c r="F45" s="5" t="s">
        <v>72</v>
      </c>
      <c r="G45" s="5">
        <f>91 +91987650043</f>
        <v>91987650134</v>
      </c>
    </row>
    <row r="46" spans="1:7" ht="15" thickBot="1" x14ac:dyDescent="0.35">
      <c r="A46" s="5" t="s">
        <v>21</v>
      </c>
      <c r="B46" s="5">
        <v>1000000045</v>
      </c>
      <c r="C46" s="5">
        <v>98000</v>
      </c>
      <c r="D46" s="5" t="s">
        <v>22</v>
      </c>
      <c r="E46" s="5" t="s">
        <v>9</v>
      </c>
      <c r="F46" s="5" t="s">
        <v>73</v>
      </c>
      <c r="G46" s="5">
        <f>91 +91987650044</f>
        <v>91987650135</v>
      </c>
    </row>
    <row r="47" spans="1:7" ht="15" thickBot="1" x14ac:dyDescent="0.35">
      <c r="A47" s="5" t="s">
        <v>24</v>
      </c>
      <c r="B47" s="5">
        <v>1000000046</v>
      </c>
      <c r="C47" s="5">
        <v>67000</v>
      </c>
      <c r="D47" s="5" t="s">
        <v>25</v>
      </c>
      <c r="E47" s="5" t="s">
        <v>13</v>
      </c>
      <c r="F47" s="5" t="s">
        <v>74</v>
      </c>
      <c r="G47" s="5">
        <f>91 +91987650045</f>
        <v>91987650136</v>
      </c>
    </row>
    <row r="48" spans="1:7" ht="15" thickBot="1" x14ac:dyDescent="0.35">
      <c r="A48" s="5" t="s">
        <v>27</v>
      </c>
      <c r="B48" s="5">
        <v>1000000047</v>
      </c>
      <c r="C48" s="5">
        <v>56000</v>
      </c>
      <c r="D48" s="5" t="s">
        <v>28</v>
      </c>
      <c r="E48" s="5" t="s">
        <v>9</v>
      </c>
      <c r="F48" s="5" t="s">
        <v>75</v>
      </c>
      <c r="G48" s="5">
        <f>91 +91987650046</f>
        <v>91987650137</v>
      </c>
    </row>
    <row r="49" spans="1:7" ht="15" thickBot="1" x14ac:dyDescent="0.35">
      <c r="A49" s="5" t="s">
        <v>30</v>
      </c>
      <c r="B49" s="5">
        <v>1000000048</v>
      </c>
      <c r="C49" s="5">
        <v>89000</v>
      </c>
      <c r="D49" s="5" t="s">
        <v>31</v>
      </c>
      <c r="E49" s="5" t="s">
        <v>13</v>
      </c>
      <c r="F49" s="5" t="s">
        <v>76</v>
      </c>
      <c r="G49" s="5">
        <f>91 +91987650047</f>
        <v>91987650138</v>
      </c>
    </row>
    <row r="50" spans="1:7" ht="15" thickBot="1" x14ac:dyDescent="0.35">
      <c r="A50" s="5" t="s">
        <v>33</v>
      </c>
      <c r="B50" s="5">
        <v>1000000049</v>
      </c>
      <c r="C50" s="5">
        <v>46000</v>
      </c>
      <c r="D50" s="5" t="s">
        <v>34</v>
      </c>
      <c r="E50" s="5" t="s">
        <v>9</v>
      </c>
      <c r="F50" s="5" t="s">
        <v>77</v>
      </c>
      <c r="G50" s="5">
        <f>91 +91987650048</f>
        <v>91987650139</v>
      </c>
    </row>
    <row r="51" spans="1:7" ht="15" thickBot="1" x14ac:dyDescent="0.35">
      <c r="A51" s="5" t="s">
        <v>36</v>
      </c>
      <c r="B51" s="5">
        <v>1000000050</v>
      </c>
      <c r="C51" s="5">
        <v>77000</v>
      </c>
      <c r="D51" s="5" t="s">
        <v>37</v>
      </c>
      <c r="E51" s="5" t="s">
        <v>13</v>
      </c>
      <c r="F51" s="5" t="s">
        <v>78</v>
      </c>
      <c r="G51" s="5">
        <f>91 +91987650049</f>
        <v>91987650140</v>
      </c>
    </row>
    <row r="52" spans="1:7" ht="15" thickBot="1" x14ac:dyDescent="0.35">
      <c r="A52" s="5" t="s">
        <v>7</v>
      </c>
      <c r="B52" s="5">
        <v>1000000051</v>
      </c>
      <c r="C52" s="5">
        <v>50000</v>
      </c>
      <c r="D52" s="5" t="s">
        <v>8</v>
      </c>
      <c r="E52" s="5" t="s">
        <v>9</v>
      </c>
      <c r="F52" s="5" t="s">
        <v>79</v>
      </c>
      <c r="G52" s="5">
        <f>91 +91987650050</f>
        <v>91987650141</v>
      </c>
    </row>
    <row r="53" spans="1:7" ht="15" thickBot="1" x14ac:dyDescent="0.35">
      <c r="A53" s="5" t="s">
        <v>11</v>
      </c>
      <c r="B53" s="5">
        <v>1000000052</v>
      </c>
      <c r="C53" s="5">
        <v>75000</v>
      </c>
      <c r="D53" s="5" t="s">
        <v>12</v>
      </c>
      <c r="E53" s="5" t="s">
        <v>13</v>
      </c>
      <c r="F53" s="5" t="s">
        <v>80</v>
      </c>
      <c r="G53" s="5">
        <f>91 +91987650051</f>
        <v>91987650142</v>
      </c>
    </row>
    <row r="54" spans="1:7" ht="15" thickBot="1" x14ac:dyDescent="0.35">
      <c r="A54" s="5" t="s">
        <v>15</v>
      </c>
      <c r="B54" s="5">
        <v>1000000053</v>
      </c>
      <c r="C54" s="5">
        <v>120000</v>
      </c>
      <c r="D54" s="5" t="s">
        <v>16</v>
      </c>
      <c r="E54" s="5" t="s">
        <v>9</v>
      </c>
      <c r="F54" s="5" t="s">
        <v>81</v>
      </c>
      <c r="G54" s="5">
        <f>91 +91987650052</f>
        <v>91987650143</v>
      </c>
    </row>
    <row r="55" spans="1:7" ht="15" thickBot="1" x14ac:dyDescent="0.35">
      <c r="A55" s="5" t="s">
        <v>18</v>
      </c>
      <c r="B55" s="5">
        <v>1000000054</v>
      </c>
      <c r="C55" s="5">
        <v>45000</v>
      </c>
      <c r="D55" s="5" t="s">
        <v>19</v>
      </c>
      <c r="E55" s="5" t="s">
        <v>13</v>
      </c>
      <c r="F55" s="5" t="s">
        <v>82</v>
      </c>
      <c r="G55" s="5">
        <f>91 +91987650053</f>
        <v>91987650144</v>
      </c>
    </row>
    <row r="56" spans="1:7" ht="15" thickBot="1" x14ac:dyDescent="0.35">
      <c r="A56" s="5" t="s">
        <v>21</v>
      </c>
      <c r="B56" s="5">
        <v>1000000055</v>
      </c>
      <c r="C56" s="5">
        <v>98000</v>
      </c>
      <c r="D56" s="5" t="s">
        <v>22</v>
      </c>
      <c r="E56" s="5" t="s">
        <v>9</v>
      </c>
      <c r="F56" s="5" t="s">
        <v>83</v>
      </c>
      <c r="G56" s="5">
        <f>91 +91987650054</f>
        <v>91987650145</v>
      </c>
    </row>
    <row r="57" spans="1:7" ht="15" thickBot="1" x14ac:dyDescent="0.35">
      <c r="A57" s="5" t="s">
        <v>24</v>
      </c>
      <c r="B57" s="5">
        <v>1000000056</v>
      </c>
      <c r="C57" s="5">
        <v>67000</v>
      </c>
      <c r="D57" s="5" t="s">
        <v>25</v>
      </c>
      <c r="E57" s="5" t="s">
        <v>13</v>
      </c>
      <c r="F57" s="5" t="s">
        <v>84</v>
      </c>
      <c r="G57" s="5">
        <f>91 +91987650055</f>
        <v>91987650146</v>
      </c>
    </row>
    <row r="58" spans="1:7" ht="15" thickBot="1" x14ac:dyDescent="0.35">
      <c r="A58" s="5" t="s">
        <v>27</v>
      </c>
      <c r="B58" s="5">
        <v>1000000057</v>
      </c>
      <c r="C58" s="5">
        <v>56000</v>
      </c>
      <c r="D58" s="5" t="s">
        <v>28</v>
      </c>
      <c r="E58" s="5" t="s">
        <v>9</v>
      </c>
      <c r="F58" s="5" t="s">
        <v>85</v>
      </c>
      <c r="G58" s="5">
        <f>91 +91987650056</f>
        <v>91987650147</v>
      </c>
    </row>
    <row r="59" spans="1:7" ht="15" thickBot="1" x14ac:dyDescent="0.35">
      <c r="A59" s="5" t="s">
        <v>30</v>
      </c>
      <c r="B59" s="5">
        <v>1000000058</v>
      </c>
      <c r="C59" s="5">
        <v>89000</v>
      </c>
      <c r="D59" s="5" t="s">
        <v>31</v>
      </c>
      <c r="E59" s="5" t="s">
        <v>13</v>
      </c>
      <c r="F59" s="5" t="s">
        <v>86</v>
      </c>
      <c r="G59" s="5">
        <f>91 +91987650057</f>
        <v>91987650148</v>
      </c>
    </row>
    <row r="60" spans="1:7" ht="15" thickBot="1" x14ac:dyDescent="0.35">
      <c r="A60" s="5" t="s">
        <v>33</v>
      </c>
      <c r="B60" s="5">
        <v>1000000059</v>
      </c>
      <c r="C60" s="5">
        <v>46000</v>
      </c>
      <c r="D60" s="5" t="s">
        <v>34</v>
      </c>
      <c r="E60" s="5" t="s">
        <v>9</v>
      </c>
      <c r="F60" s="5" t="s">
        <v>87</v>
      </c>
      <c r="G60" s="5">
        <f>91 +91987650058</f>
        <v>91987650149</v>
      </c>
    </row>
    <row r="61" spans="1:7" ht="15" thickBot="1" x14ac:dyDescent="0.35">
      <c r="A61" s="5" t="s">
        <v>36</v>
      </c>
      <c r="B61" s="5">
        <v>1000000060</v>
      </c>
      <c r="C61" s="5">
        <v>77000</v>
      </c>
      <c r="D61" s="5" t="s">
        <v>37</v>
      </c>
      <c r="E61" s="5" t="s">
        <v>13</v>
      </c>
      <c r="F61" s="5" t="s">
        <v>88</v>
      </c>
      <c r="G61" s="5">
        <f>91 +91987650059</f>
        <v>91987650150</v>
      </c>
    </row>
    <row r="62" spans="1:7" ht="15" thickBot="1" x14ac:dyDescent="0.35">
      <c r="A62" s="5" t="s">
        <v>7</v>
      </c>
      <c r="B62" s="5">
        <v>1000000061</v>
      </c>
      <c r="C62" s="5">
        <v>50000</v>
      </c>
      <c r="D62" s="5" t="s">
        <v>8</v>
      </c>
      <c r="E62" s="5" t="s">
        <v>9</v>
      </c>
      <c r="F62" s="5" t="s">
        <v>89</v>
      </c>
      <c r="G62" s="5">
        <f>91 +91987650060</f>
        <v>91987650151</v>
      </c>
    </row>
    <row r="63" spans="1:7" ht="15" thickBot="1" x14ac:dyDescent="0.35">
      <c r="A63" s="5" t="s">
        <v>11</v>
      </c>
      <c r="B63" s="5">
        <v>1000000062</v>
      </c>
      <c r="C63" s="5">
        <v>75000</v>
      </c>
      <c r="D63" s="5" t="s">
        <v>12</v>
      </c>
      <c r="E63" s="5" t="s">
        <v>13</v>
      </c>
      <c r="F63" s="5" t="s">
        <v>90</v>
      </c>
      <c r="G63" s="5">
        <f>91 +91987650061</f>
        <v>91987650152</v>
      </c>
    </row>
    <row r="64" spans="1:7" ht="15" thickBot="1" x14ac:dyDescent="0.35">
      <c r="A64" s="5" t="s">
        <v>15</v>
      </c>
      <c r="B64" s="5">
        <v>1000000063</v>
      </c>
      <c r="C64" s="5">
        <v>120000</v>
      </c>
      <c r="D64" s="5" t="s">
        <v>16</v>
      </c>
      <c r="E64" s="5" t="s">
        <v>9</v>
      </c>
      <c r="F64" s="5" t="s">
        <v>91</v>
      </c>
      <c r="G64" s="5">
        <f>91 +91987650062</f>
        <v>91987650153</v>
      </c>
    </row>
    <row r="65" spans="1:7" ht="15" thickBot="1" x14ac:dyDescent="0.35">
      <c r="A65" s="5" t="s">
        <v>18</v>
      </c>
      <c r="B65" s="5">
        <v>1000000064</v>
      </c>
      <c r="C65" s="5">
        <v>45000</v>
      </c>
      <c r="D65" s="5" t="s">
        <v>19</v>
      </c>
      <c r="E65" s="5" t="s">
        <v>13</v>
      </c>
      <c r="F65" s="5" t="s">
        <v>92</v>
      </c>
      <c r="G65" s="5">
        <f>91 +91987650063</f>
        <v>91987650154</v>
      </c>
    </row>
    <row r="66" spans="1:7" ht="15" thickBot="1" x14ac:dyDescent="0.35">
      <c r="A66" s="5" t="s">
        <v>21</v>
      </c>
      <c r="B66" s="5">
        <v>1000000065</v>
      </c>
      <c r="C66" s="5">
        <v>98000</v>
      </c>
      <c r="D66" s="5" t="s">
        <v>22</v>
      </c>
      <c r="E66" s="5" t="s">
        <v>9</v>
      </c>
      <c r="F66" s="5" t="s">
        <v>93</v>
      </c>
      <c r="G66" s="5">
        <f>91 +91987650064</f>
        <v>91987650155</v>
      </c>
    </row>
    <row r="67" spans="1:7" ht="15" thickBot="1" x14ac:dyDescent="0.35">
      <c r="A67" s="5" t="s">
        <v>24</v>
      </c>
      <c r="B67" s="5">
        <v>1000000066</v>
      </c>
      <c r="C67" s="5">
        <v>67000</v>
      </c>
      <c r="D67" s="5" t="s">
        <v>25</v>
      </c>
      <c r="E67" s="5" t="s">
        <v>13</v>
      </c>
      <c r="F67" s="5" t="s">
        <v>94</v>
      </c>
      <c r="G67" s="5">
        <f>91 +91987650065</f>
        <v>91987650156</v>
      </c>
    </row>
    <row r="68" spans="1:7" ht="15" thickBot="1" x14ac:dyDescent="0.35">
      <c r="A68" s="5" t="s">
        <v>27</v>
      </c>
      <c r="B68" s="5">
        <v>1000000067</v>
      </c>
      <c r="C68" s="5">
        <v>56000</v>
      </c>
      <c r="D68" s="5" t="s">
        <v>28</v>
      </c>
      <c r="E68" s="5" t="s">
        <v>9</v>
      </c>
      <c r="F68" s="5" t="s">
        <v>95</v>
      </c>
      <c r="G68" s="5">
        <f>91 +91987650066</f>
        <v>91987650157</v>
      </c>
    </row>
    <row r="69" spans="1:7" ht="15" thickBot="1" x14ac:dyDescent="0.35">
      <c r="A69" s="5" t="s">
        <v>30</v>
      </c>
      <c r="B69" s="5">
        <v>1000000068</v>
      </c>
      <c r="C69" s="5">
        <v>89000</v>
      </c>
      <c r="D69" s="5" t="s">
        <v>31</v>
      </c>
      <c r="E69" s="5" t="s">
        <v>13</v>
      </c>
      <c r="F69" s="5" t="s">
        <v>96</v>
      </c>
      <c r="G69" s="5">
        <f>91 +91987650067</f>
        <v>91987650158</v>
      </c>
    </row>
    <row r="70" spans="1:7" ht="15" thickBot="1" x14ac:dyDescent="0.35">
      <c r="A70" s="5" t="s">
        <v>33</v>
      </c>
      <c r="B70" s="5">
        <v>1000000069</v>
      </c>
      <c r="C70" s="5">
        <v>46000</v>
      </c>
      <c r="D70" s="5" t="s">
        <v>34</v>
      </c>
      <c r="E70" s="5" t="s">
        <v>9</v>
      </c>
      <c r="F70" s="5" t="s">
        <v>97</v>
      </c>
      <c r="G70" s="5">
        <f>91 +91987650068</f>
        <v>91987650159</v>
      </c>
    </row>
    <row r="71" spans="1:7" ht="15" thickBot="1" x14ac:dyDescent="0.35">
      <c r="A71" s="5" t="s">
        <v>36</v>
      </c>
      <c r="B71" s="5">
        <v>1000000070</v>
      </c>
      <c r="C71" s="5">
        <v>77000</v>
      </c>
      <c r="D71" s="5" t="s">
        <v>37</v>
      </c>
      <c r="E71" s="5" t="s">
        <v>13</v>
      </c>
      <c r="F71" s="5" t="s">
        <v>98</v>
      </c>
      <c r="G71" s="5">
        <f>91 +91987650069</f>
        <v>91987650160</v>
      </c>
    </row>
    <row r="72" spans="1:7" ht="15" thickBot="1" x14ac:dyDescent="0.35">
      <c r="A72" s="5" t="s">
        <v>7</v>
      </c>
      <c r="B72" s="5">
        <v>1000000071</v>
      </c>
      <c r="C72" s="5">
        <v>50000</v>
      </c>
      <c r="D72" s="5" t="s">
        <v>8</v>
      </c>
      <c r="E72" s="5" t="s">
        <v>9</v>
      </c>
      <c r="F72" s="5" t="s">
        <v>99</v>
      </c>
      <c r="G72" s="5">
        <f>91 +91987650070</f>
        <v>91987650161</v>
      </c>
    </row>
    <row r="73" spans="1:7" ht="15" thickBot="1" x14ac:dyDescent="0.35">
      <c r="A73" s="5" t="s">
        <v>11</v>
      </c>
      <c r="B73" s="5">
        <v>1000000072</v>
      </c>
      <c r="C73" s="5">
        <v>75000</v>
      </c>
      <c r="D73" s="5" t="s">
        <v>12</v>
      </c>
      <c r="E73" s="5" t="s">
        <v>13</v>
      </c>
      <c r="F73" s="5" t="s">
        <v>100</v>
      </c>
      <c r="G73" s="5">
        <f>91 +91987650071</f>
        <v>91987650162</v>
      </c>
    </row>
    <row r="74" spans="1:7" ht="15" thickBot="1" x14ac:dyDescent="0.35">
      <c r="A74" s="5" t="s">
        <v>15</v>
      </c>
      <c r="B74" s="5">
        <v>1000000073</v>
      </c>
      <c r="C74" s="5">
        <v>120000</v>
      </c>
      <c r="D74" s="5" t="s">
        <v>16</v>
      </c>
      <c r="E74" s="5" t="s">
        <v>9</v>
      </c>
      <c r="F74" s="5" t="s">
        <v>101</v>
      </c>
      <c r="G74" s="5">
        <f>91 +91987650072</f>
        <v>91987650163</v>
      </c>
    </row>
    <row r="75" spans="1:7" ht="15" thickBot="1" x14ac:dyDescent="0.35">
      <c r="A75" s="5" t="s">
        <v>18</v>
      </c>
      <c r="B75" s="5">
        <v>1000000074</v>
      </c>
      <c r="C75" s="5">
        <v>45000</v>
      </c>
      <c r="D75" s="5" t="s">
        <v>19</v>
      </c>
      <c r="E75" s="5" t="s">
        <v>13</v>
      </c>
      <c r="F75" s="5" t="s">
        <v>102</v>
      </c>
      <c r="G75" s="5">
        <f>91 +91987650073</f>
        <v>91987650164</v>
      </c>
    </row>
    <row r="76" spans="1:7" ht="15" thickBot="1" x14ac:dyDescent="0.35">
      <c r="A76" s="5" t="s">
        <v>21</v>
      </c>
      <c r="B76" s="5">
        <v>1000000075</v>
      </c>
      <c r="C76" s="5">
        <v>98000</v>
      </c>
      <c r="D76" s="5" t="s">
        <v>22</v>
      </c>
      <c r="E76" s="5" t="s">
        <v>9</v>
      </c>
      <c r="F76" s="5" t="s">
        <v>103</v>
      </c>
      <c r="G76" s="5">
        <f>91 +91987650074</f>
        <v>91987650165</v>
      </c>
    </row>
    <row r="77" spans="1:7" ht="15" thickBot="1" x14ac:dyDescent="0.35">
      <c r="A77" s="5" t="s">
        <v>24</v>
      </c>
      <c r="B77" s="5">
        <v>1000000076</v>
      </c>
      <c r="C77" s="5">
        <v>67000</v>
      </c>
      <c r="D77" s="5" t="s">
        <v>25</v>
      </c>
      <c r="E77" s="5" t="s">
        <v>13</v>
      </c>
      <c r="F77" s="5" t="s">
        <v>104</v>
      </c>
      <c r="G77" s="5">
        <f>91 +91987650075</f>
        <v>91987650166</v>
      </c>
    </row>
    <row r="78" spans="1:7" ht="15" thickBot="1" x14ac:dyDescent="0.35">
      <c r="A78" s="5" t="s">
        <v>27</v>
      </c>
      <c r="B78" s="5">
        <v>1000000077</v>
      </c>
      <c r="C78" s="5">
        <v>56000</v>
      </c>
      <c r="D78" s="5" t="s">
        <v>28</v>
      </c>
      <c r="E78" s="5" t="s">
        <v>9</v>
      </c>
      <c r="F78" s="5" t="s">
        <v>105</v>
      </c>
      <c r="G78" s="5">
        <f>91 +91987650076</f>
        <v>91987650167</v>
      </c>
    </row>
    <row r="79" spans="1:7" ht="15" thickBot="1" x14ac:dyDescent="0.35">
      <c r="A79" s="5" t="s">
        <v>30</v>
      </c>
      <c r="B79" s="5">
        <v>1000000078</v>
      </c>
      <c r="C79" s="5">
        <v>89000</v>
      </c>
      <c r="D79" s="5" t="s">
        <v>31</v>
      </c>
      <c r="E79" s="5" t="s">
        <v>13</v>
      </c>
      <c r="F79" s="5" t="s">
        <v>106</v>
      </c>
      <c r="G79" s="5">
        <f>91 +91987650077</f>
        <v>91987650168</v>
      </c>
    </row>
    <row r="80" spans="1:7" ht="15" thickBot="1" x14ac:dyDescent="0.35">
      <c r="A80" s="5" t="s">
        <v>33</v>
      </c>
      <c r="B80" s="5">
        <v>1000000079</v>
      </c>
      <c r="C80" s="5">
        <v>46000</v>
      </c>
      <c r="D80" s="5" t="s">
        <v>34</v>
      </c>
      <c r="E80" s="5" t="s">
        <v>9</v>
      </c>
      <c r="F80" s="5" t="s">
        <v>107</v>
      </c>
      <c r="G80" s="5">
        <f>91 +91987650078</f>
        <v>91987650169</v>
      </c>
    </row>
    <row r="81" spans="1:7" ht="15" thickBot="1" x14ac:dyDescent="0.35">
      <c r="A81" s="5" t="s">
        <v>36</v>
      </c>
      <c r="B81" s="5">
        <v>1000000080</v>
      </c>
      <c r="C81" s="5">
        <v>77000</v>
      </c>
      <c r="D81" s="5" t="s">
        <v>37</v>
      </c>
      <c r="E81" s="5" t="s">
        <v>13</v>
      </c>
      <c r="F81" s="5" t="s">
        <v>108</v>
      </c>
      <c r="G81" s="5">
        <f>91 +91987650079</f>
        <v>91987650170</v>
      </c>
    </row>
    <row r="82" spans="1:7" ht="15" thickBot="1" x14ac:dyDescent="0.35">
      <c r="A82" s="5" t="s">
        <v>7</v>
      </c>
      <c r="B82" s="5">
        <v>1000000081</v>
      </c>
      <c r="C82" s="5">
        <v>50000</v>
      </c>
      <c r="D82" s="5" t="s">
        <v>8</v>
      </c>
      <c r="E82" s="5" t="s">
        <v>9</v>
      </c>
      <c r="F82" s="5" t="s">
        <v>109</v>
      </c>
      <c r="G82" s="5">
        <f>91 +91987650080</f>
        <v>91987650171</v>
      </c>
    </row>
    <row r="83" spans="1:7" ht="15" thickBot="1" x14ac:dyDescent="0.35">
      <c r="A83" s="5" t="s">
        <v>11</v>
      </c>
      <c r="B83" s="5">
        <v>1000000082</v>
      </c>
      <c r="C83" s="5">
        <v>75000</v>
      </c>
      <c r="D83" s="5" t="s">
        <v>12</v>
      </c>
      <c r="E83" s="5" t="s">
        <v>13</v>
      </c>
      <c r="F83" s="5" t="s">
        <v>110</v>
      </c>
      <c r="G83" s="5">
        <f>91 +91987650081</f>
        <v>91987650172</v>
      </c>
    </row>
    <row r="84" spans="1:7" ht="15" thickBot="1" x14ac:dyDescent="0.35">
      <c r="A84" s="5" t="s">
        <v>15</v>
      </c>
      <c r="B84" s="5">
        <v>1000000083</v>
      </c>
      <c r="C84" s="5">
        <v>120000</v>
      </c>
      <c r="D84" s="5" t="s">
        <v>16</v>
      </c>
      <c r="E84" s="5" t="s">
        <v>9</v>
      </c>
      <c r="F84" s="5" t="s">
        <v>111</v>
      </c>
      <c r="G84" s="5">
        <f>91 +91987650082</f>
        <v>91987650173</v>
      </c>
    </row>
    <row r="85" spans="1:7" ht="15" thickBot="1" x14ac:dyDescent="0.35">
      <c r="A85" s="5" t="s">
        <v>18</v>
      </c>
      <c r="B85" s="5">
        <v>1000000084</v>
      </c>
      <c r="C85" s="5">
        <v>45000</v>
      </c>
      <c r="D85" s="5" t="s">
        <v>19</v>
      </c>
      <c r="E85" s="5" t="s">
        <v>13</v>
      </c>
      <c r="F85" s="5" t="s">
        <v>112</v>
      </c>
      <c r="G85" s="5">
        <f>91 +91987650083</f>
        <v>91987650174</v>
      </c>
    </row>
    <row r="86" spans="1:7" ht="15" thickBot="1" x14ac:dyDescent="0.35">
      <c r="A86" s="5" t="s">
        <v>21</v>
      </c>
      <c r="B86" s="5">
        <v>1000000085</v>
      </c>
      <c r="C86" s="5">
        <v>98000</v>
      </c>
      <c r="D86" s="5" t="s">
        <v>22</v>
      </c>
      <c r="E86" s="5" t="s">
        <v>9</v>
      </c>
      <c r="F86" s="5" t="s">
        <v>113</v>
      </c>
      <c r="G86" s="5">
        <f>91 +91987650084</f>
        <v>91987650175</v>
      </c>
    </row>
    <row r="87" spans="1:7" ht="15" thickBot="1" x14ac:dyDescent="0.35">
      <c r="A87" s="5" t="s">
        <v>24</v>
      </c>
      <c r="B87" s="5">
        <v>1000000086</v>
      </c>
      <c r="C87" s="5">
        <v>67000</v>
      </c>
      <c r="D87" s="5" t="s">
        <v>25</v>
      </c>
      <c r="E87" s="5" t="s">
        <v>13</v>
      </c>
      <c r="F87" s="5" t="s">
        <v>114</v>
      </c>
      <c r="G87" s="5">
        <f>91 +91987650085</f>
        <v>91987650176</v>
      </c>
    </row>
    <row r="88" spans="1:7" ht="15" thickBot="1" x14ac:dyDescent="0.35">
      <c r="A88" s="5" t="s">
        <v>27</v>
      </c>
      <c r="B88" s="5">
        <v>1000000087</v>
      </c>
      <c r="C88" s="5">
        <v>56000</v>
      </c>
      <c r="D88" s="5" t="s">
        <v>28</v>
      </c>
      <c r="E88" s="5" t="s">
        <v>9</v>
      </c>
      <c r="F88" s="5" t="s">
        <v>115</v>
      </c>
      <c r="G88" s="5">
        <f>91 +91987650086</f>
        <v>91987650177</v>
      </c>
    </row>
    <row r="89" spans="1:7" ht="15" thickBot="1" x14ac:dyDescent="0.35">
      <c r="A89" s="5" t="s">
        <v>30</v>
      </c>
      <c r="B89" s="5">
        <v>1000000088</v>
      </c>
      <c r="C89" s="5">
        <v>89000</v>
      </c>
      <c r="D89" s="5" t="s">
        <v>31</v>
      </c>
      <c r="E89" s="5" t="s">
        <v>13</v>
      </c>
      <c r="F89" s="5" t="s">
        <v>116</v>
      </c>
      <c r="G89" s="5">
        <f>91 +91987650087</f>
        <v>91987650178</v>
      </c>
    </row>
    <row r="90" spans="1:7" ht="15" thickBot="1" x14ac:dyDescent="0.35">
      <c r="A90" s="5" t="s">
        <v>33</v>
      </c>
      <c r="B90" s="5">
        <v>1000000089</v>
      </c>
      <c r="C90" s="5">
        <v>46000</v>
      </c>
      <c r="D90" s="5" t="s">
        <v>34</v>
      </c>
      <c r="E90" s="5" t="s">
        <v>9</v>
      </c>
      <c r="F90" s="5" t="s">
        <v>117</v>
      </c>
      <c r="G90" s="5">
        <f>91 +91987650088</f>
        <v>91987650179</v>
      </c>
    </row>
    <row r="91" spans="1:7" ht="15" thickBot="1" x14ac:dyDescent="0.35">
      <c r="A91" s="5" t="s">
        <v>36</v>
      </c>
      <c r="B91" s="5">
        <v>1000000090</v>
      </c>
      <c r="C91" s="5">
        <v>77000</v>
      </c>
      <c r="D91" s="5" t="s">
        <v>37</v>
      </c>
      <c r="E91" s="5" t="s">
        <v>13</v>
      </c>
      <c r="F91" s="5" t="s">
        <v>118</v>
      </c>
      <c r="G91" s="5">
        <f>91 +91987650089</f>
        <v>91987650180</v>
      </c>
    </row>
    <row r="92" spans="1:7" ht="15" thickBot="1" x14ac:dyDescent="0.35">
      <c r="A92" s="5" t="s">
        <v>7</v>
      </c>
      <c r="B92" s="5">
        <v>1000000091</v>
      </c>
      <c r="C92" s="5">
        <v>50000</v>
      </c>
      <c r="D92" s="5" t="s">
        <v>8</v>
      </c>
      <c r="E92" s="5" t="s">
        <v>9</v>
      </c>
      <c r="F92" s="5" t="s">
        <v>119</v>
      </c>
      <c r="G92" s="5">
        <f>91 +91987650090</f>
        <v>91987650181</v>
      </c>
    </row>
    <row r="93" spans="1:7" ht="15" thickBot="1" x14ac:dyDescent="0.35">
      <c r="A93" s="5" t="s">
        <v>11</v>
      </c>
      <c r="B93" s="5">
        <v>1000000092</v>
      </c>
      <c r="C93" s="5">
        <v>75000</v>
      </c>
      <c r="D93" s="5" t="s">
        <v>12</v>
      </c>
      <c r="E93" s="5" t="s">
        <v>13</v>
      </c>
      <c r="F93" s="5" t="s">
        <v>120</v>
      </c>
      <c r="G93" s="5">
        <f>91 +91987650091</f>
        <v>91987650182</v>
      </c>
    </row>
    <row r="94" spans="1:7" ht="15" thickBot="1" x14ac:dyDescent="0.35">
      <c r="A94" s="5" t="s">
        <v>15</v>
      </c>
      <c r="B94" s="5">
        <v>1000000093</v>
      </c>
      <c r="C94" s="5">
        <v>120000</v>
      </c>
      <c r="D94" s="5" t="s">
        <v>16</v>
      </c>
      <c r="E94" s="5" t="s">
        <v>9</v>
      </c>
      <c r="F94" s="5" t="s">
        <v>121</v>
      </c>
      <c r="G94" s="5">
        <f>91 +91987650092</f>
        <v>91987650183</v>
      </c>
    </row>
    <row r="95" spans="1:7" ht="15" thickBot="1" x14ac:dyDescent="0.35">
      <c r="A95" s="5" t="s">
        <v>18</v>
      </c>
      <c r="B95" s="5">
        <v>1000000094</v>
      </c>
      <c r="C95" s="5">
        <v>45000</v>
      </c>
      <c r="D95" s="5" t="s">
        <v>19</v>
      </c>
      <c r="E95" s="5" t="s">
        <v>13</v>
      </c>
      <c r="F95" s="5" t="s">
        <v>122</v>
      </c>
      <c r="G95" s="5">
        <f>91 +91987650093</f>
        <v>91987650184</v>
      </c>
    </row>
    <row r="96" spans="1:7" ht="15" thickBot="1" x14ac:dyDescent="0.35">
      <c r="A96" s="5" t="s">
        <v>21</v>
      </c>
      <c r="B96" s="5">
        <v>1000000095</v>
      </c>
      <c r="C96" s="5">
        <v>98000</v>
      </c>
      <c r="D96" s="5" t="s">
        <v>22</v>
      </c>
      <c r="E96" s="5" t="s">
        <v>9</v>
      </c>
      <c r="F96" s="5" t="s">
        <v>123</v>
      </c>
      <c r="G96" s="5">
        <f>91 +91987650094</f>
        <v>91987650185</v>
      </c>
    </row>
    <row r="97" spans="1:7" ht="15" thickBot="1" x14ac:dyDescent="0.35">
      <c r="A97" s="5" t="s">
        <v>24</v>
      </c>
      <c r="B97" s="5">
        <v>1000000096</v>
      </c>
      <c r="C97" s="5">
        <v>67000</v>
      </c>
      <c r="D97" s="5" t="s">
        <v>25</v>
      </c>
      <c r="E97" s="5" t="s">
        <v>13</v>
      </c>
      <c r="F97" s="5" t="s">
        <v>124</v>
      </c>
      <c r="G97" s="5">
        <f>91 +91987650095</f>
        <v>91987650186</v>
      </c>
    </row>
    <row r="98" spans="1:7" ht="15" thickBot="1" x14ac:dyDescent="0.35">
      <c r="A98" s="5" t="s">
        <v>27</v>
      </c>
      <c r="B98" s="5">
        <v>1000000097</v>
      </c>
      <c r="C98" s="5">
        <v>56000</v>
      </c>
      <c r="D98" s="5" t="s">
        <v>28</v>
      </c>
      <c r="E98" s="5" t="s">
        <v>9</v>
      </c>
      <c r="F98" s="5" t="s">
        <v>125</v>
      </c>
      <c r="G98" s="5">
        <f>91 +91987650096</f>
        <v>91987650187</v>
      </c>
    </row>
    <row r="99" spans="1:7" ht="15" thickBot="1" x14ac:dyDescent="0.35">
      <c r="A99" s="5" t="s">
        <v>30</v>
      </c>
      <c r="B99" s="5">
        <v>1000000098</v>
      </c>
      <c r="C99" s="5">
        <v>89000</v>
      </c>
      <c r="D99" s="5" t="s">
        <v>31</v>
      </c>
      <c r="E99" s="5" t="s">
        <v>13</v>
      </c>
      <c r="F99" s="5" t="s">
        <v>126</v>
      </c>
      <c r="G99" s="5">
        <f>91 +91987650097</f>
        <v>91987650188</v>
      </c>
    </row>
    <row r="100" spans="1:7" ht="15" thickBot="1" x14ac:dyDescent="0.35">
      <c r="A100" s="5" t="s">
        <v>33</v>
      </c>
      <c r="B100" s="5">
        <v>1000000099</v>
      </c>
      <c r="C100" s="5">
        <v>46000</v>
      </c>
      <c r="D100" s="5" t="s">
        <v>34</v>
      </c>
      <c r="E100" s="5" t="s">
        <v>9</v>
      </c>
      <c r="F100" s="5" t="s">
        <v>127</v>
      </c>
      <c r="G100" s="5">
        <f>91 +91987650098</f>
        <v>91987650189</v>
      </c>
    </row>
    <row r="101" spans="1:7" ht="15" thickBot="1" x14ac:dyDescent="0.35">
      <c r="A101" s="5" t="s">
        <v>36</v>
      </c>
      <c r="B101" s="5">
        <v>1000000100</v>
      </c>
      <c r="C101" s="5">
        <v>77000</v>
      </c>
      <c r="D101" s="5" t="s">
        <v>37</v>
      </c>
      <c r="E101" s="5" t="s">
        <v>13</v>
      </c>
      <c r="F101" s="5" t="s">
        <v>128</v>
      </c>
      <c r="G101" s="5">
        <f>91 +91987650099</f>
        <v>91987650190</v>
      </c>
    </row>
    <row r="102" spans="1:7" ht="15" thickBot="1" x14ac:dyDescent="0.35">
      <c r="A102" s="5" t="s">
        <v>7</v>
      </c>
      <c r="B102" s="5">
        <v>1000000101</v>
      </c>
      <c r="C102" s="5">
        <v>50000</v>
      </c>
      <c r="D102" s="5" t="s">
        <v>8</v>
      </c>
      <c r="E102" s="5" t="s">
        <v>9</v>
      </c>
      <c r="F102" s="5" t="s">
        <v>129</v>
      </c>
      <c r="G102" s="5">
        <f>91 +91987650100</f>
        <v>91987650191</v>
      </c>
    </row>
    <row r="103" spans="1:7" ht="15" thickBot="1" x14ac:dyDescent="0.35">
      <c r="A103" s="5" t="s">
        <v>11</v>
      </c>
      <c r="B103" s="5">
        <v>1000000102</v>
      </c>
      <c r="C103" s="5">
        <v>75000</v>
      </c>
      <c r="D103" s="5" t="s">
        <v>12</v>
      </c>
      <c r="E103" s="5" t="s">
        <v>13</v>
      </c>
      <c r="F103" s="5" t="s">
        <v>130</v>
      </c>
      <c r="G103" s="5">
        <f>91 +91987650101</f>
        <v>91987650192</v>
      </c>
    </row>
    <row r="104" spans="1:7" ht="15" thickBot="1" x14ac:dyDescent="0.35">
      <c r="A104" s="5" t="s">
        <v>15</v>
      </c>
      <c r="B104" s="5">
        <v>1000000103</v>
      </c>
      <c r="C104" s="5">
        <v>120000</v>
      </c>
      <c r="D104" s="5" t="s">
        <v>16</v>
      </c>
      <c r="E104" s="5" t="s">
        <v>9</v>
      </c>
      <c r="F104" s="5" t="s">
        <v>131</v>
      </c>
      <c r="G104" s="5">
        <f>91 +91987650102</f>
        <v>91987650193</v>
      </c>
    </row>
    <row r="105" spans="1:7" ht="15" thickBot="1" x14ac:dyDescent="0.35">
      <c r="A105" s="5" t="s">
        <v>18</v>
      </c>
      <c r="B105" s="5">
        <v>1000000104</v>
      </c>
      <c r="C105" s="5">
        <v>45000</v>
      </c>
      <c r="D105" s="5" t="s">
        <v>19</v>
      </c>
      <c r="E105" s="5" t="s">
        <v>13</v>
      </c>
      <c r="F105" s="5" t="s">
        <v>132</v>
      </c>
      <c r="G105" s="5">
        <f>91 +91987650103</f>
        <v>91987650194</v>
      </c>
    </row>
    <row r="106" spans="1:7" ht="15" thickBot="1" x14ac:dyDescent="0.35">
      <c r="A106" s="5" t="s">
        <v>21</v>
      </c>
      <c r="B106" s="5">
        <v>1000000105</v>
      </c>
      <c r="C106" s="5">
        <v>98000</v>
      </c>
      <c r="D106" s="5" t="s">
        <v>22</v>
      </c>
      <c r="E106" s="5" t="s">
        <v>9</v>
      </c>
      <c r="F106" s="5" t="s">
        <v>133</v>
      </c>
      <c r="G106" s="5">
        <f>91 +91987650104</f>
        <v>91987650195</v>
      </c>
    </row>
    <row r="107" spans="1:7" ht="15" thickBot="1" x14ac:dyDescent="0.35">
      <c r="A107" s="5" t="s">
        <v>24</v>
      </c>
      <c r="B107" s="5">
        <v>1000000106</v>
      </c>
      <c r="C107" s="5">
        <v>67000</v>
      </c>
      <c r="D107" s="5" t="s">
        <v>25</v>
      </c>
      <c r="E107" s="5" t="s">
        <v>13</v>
      </c>
      <c r="F107" s="5" t="s">
        <v>134</v>
      </c>
      <c r="G107" s="5">
        <f>91 +91987650105</f>
        <v>91987650196</v>
      </c>
    </row>
    <row r="108" spans="1:7" ht="15" thickBot="1" x14ac:dyDescent="0.35">
      <c r="A108" s="5" t="s">
        <v>27</v>
      </c>
      <c r="B108" s="5">
        <v>1000000107</v>
      </c>
      <c r="C108" s="5">
        <v>56000</v>
      </c>
      <c r="D108" s="5" t="s">
        <v>28</v>
      </c>
      <c r="E108" s="5" t="s">
        <v>9</v>
      </c>
      <c r="F108" s="5" t="s">
        <v>135</v>
      </c>
      <c r="G108" s="5">
        <f>91 +91987650106</f>
        <v>91987650197</v>
      </c>
    </row>
    <row r="109" spans="1:7" ht="15" thickBot="1" x14ac:dyDescent="0.35">
      <c r="A109" s="5" t="s">
        <v>30</v>
      </c>
      <c r="B109" s="5">
        <v>1000000108</v>
      </c>
      <c r="C109" s="5">
        <v>89000</v>
      </c>
      <c r="D109" s="5" t="s">
        <v>31</v>
      </c>
      <c r="E109" s="5" t="s">
        <v>13</v>
      </c>
      <c r="F109" s="5" t="s">
        <v>136</v>
      </c>
      <c r="G109" s="5">
        <f>91 +91987650107</f>
        <v>91987650198</v>
      </c>
    </row>
    <row r="110" spans="1:7" ht="15" thickBot="1" x14ac:dyDescent="0.35">
      <c r="A110" s="5" t="s">
        <v>33</v>
      </c>
      <c r="B110" s="5">
        <v>1000000109</v>
      </c>
      <c r="C110" s="5">
        <v>46000</v>
      </c>
      <c r="D110" s="5" t="s">
        <v>34</v>
      </c>
      <c r="E110" s="5" t="s">
        <v>9</v>
      </c>
      <c r="F110" s="5" t="s">
        <v>137</v>
      </c>
      <c r="G110" s="5">
        <f>91 +91987650108</f>
        <v>91987650199</v>
      </c>
    </row>
    <row r="111" spans="1:7" ht="15" thickBot="1" x14ac:dyDescent="0.35">
      <c r="A111" s="5" t="s">
        <v>36</v>
      </c>
      <c r="B111" s="5">
        <v>1000000110</v>
      </c>
      <c r="C111" s="5">
        <v>77000</v>
      </c>
      <c r="D111" s="5" t="s">
        <v>37</v>
      </c>
      <c r="E111" s="5" t="s">
        <v>13</v>
      </c>
      <c r="F111" s="5" t="s">
        <v>138</v>
      </c>
      <c r="G111" s="5">
        <f>91 +91987650109</f>
        <v>91987650200</v>
      </c>
    </row>
    <row r="112" spans="1:7" ht="15" thickBot="1" x14ac:dyDescent="0.35">
      <c r="A112" s="5" t="s">
        <v>7</v>
      </c>
      <c r="B112" s="5">
        <v>1000000111</v>
      </c>
      <c r="C112" s="5">
        <v>50000</v>
      </c>
      <c r="D112" s="5" t="s">
        <v>8</v>
      </c>
      <c r="E112" s="5" t="s">
        <v>9</v>
      </c>
      <c r="F112" s="5" t="s">
        <v>139</v>
      </c>
      <c r="G112" s="5">
        <f>91 +91987650110</f>
        <v>91987650201</v>
      </c>
    </row>
    <row r="113" spans="1:7" ht="15" thickBot="1" x14ac:dyDescent="0.35">
      <c r="A113" s="5" t="s">
        <v>11</v>
      </c>
      <c r="B113" s="5">
        <v>1000000112</v>
      </c>
      <c r="C113" s="5">
        <v>75000</v>
      </c>
      <c r="D113" s="5" t="s">
        <v>12</v>
      </c>
      <c r="E113" s="5" t="s">
        <v>13</v>
      </c>
      <c r="F113" s="5" t="s">
        <v>140</v>
      </c>
      <c r="G113" s="5">
        <f>91 +91987650111</f>
        <v>91987650202</v>
      </c>
    </row>
    <row r="114" spans="1:7" ht="15" thickBot="1" x14ac:dyDescent="0.35">
      <c r="A114" s="5" t="s">
        <v>15</v>
      </c>
      <c r="B114" s="5">
        <v>1000000113</v>
      </c>
      <c r="C114" s="5">
        <v>120000</v>
      </c>
      <c r="D114" s="5" t="s">
        <v>16</v>
      </c>
      <c r="E114" s="5" t="s">
        <v>9</v>
      </c>
      <c r="F114" s="5" t="s">
        <v>141</v>
      </c>
      <c r="G114" s="5">
        <f>91 +91987650112</f>
        <v>91987650203</v>
      </c>
    </row>
    <row r="115" spans="1:7" ht="15" thickBot="1" x14ac:dyDescent="0.35">
      <c r="A115" s="5" t="s">
        <v>18</v>
      </c>
      <c r="B115" s="5">
        <v>1000000114</v>
      </c>
      <c r="C115" s="5">
        <v>45000</v>
      </c>
      <c r="D115" s="5" t="s">
        <v>19</v>
      </c>
      <c r="E115" s="5" t="s">
        <v>13</v>
      </c>
      <c r="F115" s="5" t="s">
        <v>142</v>
      </c>
      <c r="G115" s="5">
        <f>91 +91987650113</f>
        <v>91987650204</v>
      </c>
    </row>
    <row r="116" spans="1:7" ht="15" thickBot="1" x14ac:dyDescent="0.35">
      <c r="A116" s="5" t="s">
        <v>21</v>
      </c>
      <c r="B116" s="5">
        <v>1000000115</v>
      </c>
      <c r="C116" s="5">
        <v>98000</v>
      </c>
      <c r="D116" s="5" t="s">
        <v>22</v>
      </c>
      <c r="E116" s="5" t="s">
        <v>9</v>
      </c>
      <c r="F116" s="5" t="s">
        <v>143</v>
      </c>
      <c r="G116" s="5">
        <f>91 +91987650114</f>
        <v>91987650205</v>
      </c>
    </row>
    <row r="117" spans="1:7" ht="15" thickBot="1" x14ac:dyDescent="0.35">
      <c r="A117" s="5" t="s">
        <v>24</v>
      </c>
      <c r="B117" s="5">
        <v>1000000116</v>
      </c>
      <c r="C117" s="5">
        <v>67000</v>
      </c>
      <c r="D117" s="5" t="s">
        <v>25</v>
      </c>
      <c r="E117" s="5" t="s">
        <v>13</v>
      </c>
      <c r="F117" s="5" t="s">
        <v>144</v>
      </c>
      <c r="G117" s="5">
        <f>91 +91987650115</f>
        <v>91987650206</v>
      </c>
    </row>
    <row r="118" spans="1:7" ht="15" thickBot="1" x14ac:dyDescent="0.35">
      <c r="A118" s="5" t="s">
        <v>27</v>
      </c>
      <c r="B118" s="5">
        <v>1000000117</v>
      </c>
      <c r="C118" s="5">
        <v>56000</v>
      </c>
      <c r="D118" s="5" t="s">
        <v>28</v>
      </c>
      <c r="E118" s="5" t="s">
        <v>9</v>
      </c>
      <c r="F118" s="5" t="s">
        <v>145</v>
      </c>
      <c r="G118" s="5">
        <f>91 +91987650116</f>
        <v>91987650207</v>
      </c>
    </row>
    <row r="119" spans="1:7" ht="15" thickBot="1" x14ac:dyDescent="0.35">
      <c r="A119" s="5" t="s">
        <v>30</v>
      </c>
      <c r="B119" s="5">
        <v>1000000118</v>
      </c>
      <c r="C119" s="5">
        <v>89000</v>
      </c>
      <c r="D119" s="5" t="s">
        <v>31</v>
      </c>
      <c r="E119" s="5" t="s">
        <v>13</v>
      </c>
      <c r="F119" s="5" t="s">
        <v>146</v>
      </c>
      <c r="G119" s="5">
        <f>91 +91987650117</f>
        <v>91987650208</v>
      </c>
    </row>
    <row r="120" spans="1:7" ht="15" thickBot="1" x14ac:dyDescent="0.35">
      <c r="A120" s="5" t="s">
        <v>33</v>
      </c>
      <c r="B120" s="5">
        <v>1000000119</v>
      </c>
      <c r="C120" s="5">
        <v>46000</v>
      </c>
      <c r="D120" s="5" t="s">
        <v>34</v>
      </c>
      <c r="E120" s="5" t="s">
        <v>9</v>
      </c>
      <c r="F120" s="5" t="s">
        <v>147</v>
      </c>
      <c r="G120" s="5">
        <f>91 +91987650118</f>
        <v>91987650209</v>
      </c>
    </row>
    <row r="121" spans="1:7" ht="15" thickBot="1" x14ac:dyDescent="0.35">
      <c r="A121" s="5" t="s">
        <v>36</v>
      </c>
      <c r="B121" s="5">
        <v>1000000120</v>
      </c>
      <c r="C121" s="5">
        <v>77000</v>
      </c>
      <c r="D121" s="5" t="s">
        <v>37</v>
      </c>
      <c r="E121" s="5" t="s">
        <v>13</v>
      </c>
      <c r="F121" s="5" t="s">
        <v>148</v>
      </c>
      <c r="G121" s="5">
        <f>91 +91987650119</f>
        <v>91987650210</v>
      </c>
    </row>
    <row r="122" spans="1:7" ht="15" thickBot="1" x14ac:dyDescent="0.35">
      <c r="A122" s="5" t="s">
        <v>7</v>
      </c>
      <c r="B122" s="5">
        <v>1000000121</v>
      </c>
      <c r="C122" s="5">
        <v>50000</v>
      </c>
      <c r="D122" s="5" t="s">
        <v>8</v>
      </c>
      <c r="E122" s="5" t="s">
        <v>9</v>
      </c>
      <c r="F122" s="5" t="s">
        <v>149</v>
      </c>
      <c r="G122" s="5">
        <f>91 +91987650120</f>
        <v>91987650211</v>
      </c>
    </row>
    <row r="123" spans="1:7" ht="15" thickBot="1" x14ac:dyDescent="0.35">
      <c r="A123" s="5" t="s">
        <v>11</v>
      </c>
      <c r="B123" s="5">
        <v>1000000122</v>
      </c>
      <c r="C123" s="5">
        <v>75000</v>
      </c>
      <c r="D123" s="5" t="s">
        <v>12</v>
      </c>
      <c r="E123" s="5" t="s">
        <v>13</v>
      </c>
      <c r="F123" s="5" t="s">
        <v>150</v>
      </c>
      <c r="G123" s="5">
        <f>91 +91987650121</f>
        <v>91987650212</v>
      </c>
    </row>
    <row r="124" spans="1:7" ht="15" thickBot="1" x14ac:dyDescent="0.35">
      <c r="A124" s="5" t="s">
        <v>15</v>
      </c>
      <c r="B124" s="5">
        <v>1000000123</v>
      </c>
      <c r="C124" s="5">
        <v>120000</v>
      </c>
      <c r="D124" s="5" t="s">
        <v>16</v>
      </c>
      <c r="E124" s="5" t="s">
        <v>9</v>
      </c>
      <c r="F124" s="5" t="s">
        <v>151</v>
      </c>
      <c r="G124" s="5">
        <f>91 +91987650122</f>
        <v>91987650213</v>
      </c>
    </row>
    <row r="125" spans="1:7" ht="15" thickBot="1" x14ac:dyDescent="0.35">
      <c r="A125" s="5" t="s">
        <v>18</v>
      </c>
      <c r="B125" s="5">
        <v>1000000124</v>
      </c>
      <c r="C125" s="5">
        <v>45000</v>
      </c>
      <c r="D125" s="5" t="s">
        <v>19</v>
      </c>
      <c r="E125" s="5" t="s">
        <v>13</v>
      </c>
      <c r="F125" s="5" t="s">
        <v>152</v>
      </c>
      <c r="G125" s="5">
        <f>91 +91987650123</f>
        <v>91987650214</v>
      </c>
    </row>
    <row r="126" spans="1:7" ht="15" thickBot="1" x14ac:dyDescent="0.35">
      <c r="A126" s="5" t="s">
        <v>21</v>
      </c>
      <c r="B126" s="5">
        <v>1000000125</v>
      </c>
      <c r="C126" s="5">
        <v>98000</v>
      </c>
      <c r="D126" s="5" t="s">
        <v>22</v>
      </c>
      <c r="E126" s="5" t="s">
        <v>9</v>
      </c>
      <c r="F126" s="5" t="s">
        <v>153</v>
      </c>
      <c r="G126" s="5">
        <f>91 +91987650124</f>
        <v>91987650215</v>
      </c>
    </row>
    <row r="127" spans="1:7" ht="15" thickBot="1" x14ac:dyDescent="0.35">
      <c r="A127" s="5" t="s">
        <v>24</v>
      </c>
      <c r="B127" s="5">
        <v>1000000126</v>
      </c>
      <c r="C127" s="5">
        <v>67000</v>
      </c>
      <c r="D127" s="5" t="s">
        <v>25</v>
      </c>
      <c r="E127" s="5" t="s">
        <v>13</v>
      </c>
      <c r="F127" s="5" t="s">
        <v>154</v>
      </c>
      <c r="G127" s="5">
        <f>91 +91987650125</f>
        <v>91987650216</v>
      </c>
    </row>
    <row r="128" spans="1:7" ht="15" thickBot="1" x14ac:dyDescent="0.35">
      <c r="A128" s="5" t="s">
        <v>27</v>
      </c>
      <c r="B128" s="5">
        <v>1000000127</v>
      </c>
      <c r="C128" s="5">
        <v>56000</v>
      </c>
      <c r="D128" s="5" t="s">
        <v>28</v>
      </c>
      <c r="E128" s="5" t="s">
        <v>9</v>
      </c>
      <c r="F128" s="5" t="s">
        <v>155</v>
      </c>
      <c r="G128" s="5">
        <f>91 +91987650126</f>
        <v>91987650217</v>
      </c>
    </row>
    <row r="129" spans="1:7" ht="15" thickBot="1" x14ac:dyDescent="0.35">
      <c r="A129" s="5" t="s">
        <v>30</v>
      </c>
      <c r="B129" s="5">
        <v>1000000128</v>
      </c>
      <c r="C129" s="5">
        <v>89000</v>
      </c>
      <c r="D129" s="5" t="s">
        <v>31</v>
      </c>
      <c r="E129" s="5" t="s">
        <v>13</v>
      </c>
      <c r="F129" s="5" t="s">
        <v>156</v>
      </c>
      <c r="G129" s="5">
        <f>91 +91987650127</f>
        <v>91987650218</v>
      </c>
    </row>
    <row r="130" spans="1:7" ht="15" thickBot="1" x14ac:dyDescent="0.35">
      <c r="A130" s="5" t="s">
        <v>33</v>
      </c>
      <c r="B130" s="5">
        <v>1000000129</v>
      </c>
      <c r="C130" s="5">
        <v>46000</v>
      </c>
      <c r="D130" s="5" t="s">
        <v>34</v>
      </c>
      <c r="E130" s="5" t="s">
        <v>9</v>
      </c>
      <c r="F130" s="5" t="s">
        <v>157</v>
      </c>
      <c r="G130" s="5">
        <f>91 +91987650128</f>
        <v>91987650219</v>
      </c>
    </row>
    <row r="131" spans="1:7" ht="15" thickBot="1" x14ac:dyDescent="0.35">
      <c r="A131" s="5" t="s">
        <v>36</v>
      </c>
      <c r="B131" s="5">
        <v>1000000130</v>
      </c>
      <c r="C131" s="5">
        <v>77000</v>
      </c>
      <c r="D131" s="5" t="s">
        <v>37</v>
      </c>
      <c r="E131" s="5" t="s">
        <v>13</v>
      </c>
      <c r="F131" s="5" t="s">
        <v>158</v>
      </c>
      <c r="G131" s="5">
        <f>91 +91987650129</f>
        <v>91987650220</v>
      </c>
    </row>
    <row r="132" spans="1:7" ht="15" thickBot="1" x14ac:dyDescent="0.35">
      <c r="A132" s="5" t="s">
        <v>7</v>
      </c>
      <c r="B132" s="5">
        <v>1000000131</v>
      </c>
      <c r="C132" s="5">
        <v>50000</v>
      </c>
      <c r="D132" s="5" t="s">
        <v>8</v>
      </c>
      <c r="E132" s="5" t="s">
        <v>9</v>
      </c>
      <c r="F132" s="5" t="s">
        <v>159</v>
      </c>
      <c r="G132" s="5">
        <f>91 +91987650130</f>
        <v>91987650221</v>
      </c>
    </row>
    <row r="133" spans="1:7" ht="15" thickBot="1" x14ac:dyDescent="0.35">
      <c r="A133" s="5" t="s">
        <v>11</v>
      </c>
      <c r="B133" s="5">
        <v>1000000132</v>
      </c>
      <c r="C133" s="5">
        <v>75000</v>
      </c>
      <c r="D133" s="5" t="s">
        <v>12</v>
      </c>
      <c r="E133" s="5" t="s">
        <v>13</v>
      </c>
      <c r="F133" s="5" t="s">
        <v>160</v>
      </c>
      <c r="G133" s="5">
        <f>91 +91987650131</f>
        <v>91987650222</v>
      </c>
    </row>
    <row r="134" spans="1:7" ht="15" thickBot="1" x14ac:dyDescent="0.35">
      <c r="A134" s="5" t="s">
        <v>15</v>
      </c>
      <c r="B134" s="5">
        <v>1000000133</v>
      </c>
      <c r="C134" s="5">
        <v>120000</v>
      </c>
      <c r="D134" s="5" t="s">
        <v>16</v>
      </c>
      <c r="E134" s="5" t="s">
        <v>9</v>
      </c>
      <c r="F134" s="5" t="s">
        <v>161</v>
      </c>
      <c r="G134" s="5">
        <f>91 +91987650132</f>
        <v>91987650223</v>
      </c>
    </row>
    <row r="135" spans="1:7" ht="15" thickBot="1" x14ac:dyDescent="0.35">
      <c r="A135" s="5" t="s">
        <v>18</v>
      </c>
      <c r="B135" s="5">
        <v>1000000134</v>
      </c>
      <c r="C135" s="5">
        <v>45000</v>
      </c>
      <c r="D135" s="5" t="s">
        <v>19</v>
      </c>
      <c r="E135" s="5" t="s">
        <v>13</v>
      </c>
      <c r="F135" s="5" t="s">
        <v>162</v>
      </c>
      <c r="G135" s="5">
        <f>91 +91987650133</f>
        <v>91987650224</v>
      </c>
    </row>
    <row r="136" spans="1:7" ht="15" thickBot="1" x14ac:dyDescent="0.35">
      <c r="A136" s="5" t="s">
        <v>21</v>
      </c>
      <c r="B136" s="5">
        <v>1000000135</v>
      </c>
      <c r="C136" s="5">
        <v>98000</v>
      </c>
      <c r="D136" s="5" t="s">
        <v>22</v>
      </c>
      <c r="E136" s="5" t="s">
        <v>9</v>
      </c>
      <c r="F136" s="5" t="s">
        <v>163</v>
      </c>
      <c r="G136" s="5">
        <f>91 +91987650134</f>
        <v>91987650225</v>
      </c>
    </row>
    <row r="137" spans="1:7" ht="15" thickBot="1" x14ac:dyDescent="0.35">
      <c r="A137" s="5" t="s">
        <v>24</v>
      </c>
      <c r="B137" s="5">
        <v>1000000136</v>
      </c>
      <c r="C137" s="5">
        <v>67000</v>
      </c>
      <c r="D137" s="5" t="s">
        <v>25</v>
      </c>
      <c r="E137" s="5" t="s">
        <v>13</v>
      </c>
      <c r="F137" s="5" t="s">
        <v>164</v>
      </c>
      <c r="G137" s="5">
        <f>91 +91987650135</f>
        <v>91987650226</v>
      </c>
    </row>
    <row r="138" spans="1:7" ht="15" thickBot="1" x14ac:dyDescent="0.35">
      <c r="A138" s="5" t="s">
        <v>27</v>
      </c>
      <c r="B138" s="5">
        <v>1000000137</v>
      </c>
      <c r="C138" s="5">
        <v>56000</v>
      </c>
      <c r="D138" s="5" t="s">
        <v>28</v>
      </c>
      <c r="E138" s="5" t="s">
        <v>9</v>
      </c>
      <c r="F138" s="5" t="s">
        <v>165</v>
      </c>
      <c r="G138" s="5">
        <f>91 +91987650136</f>
        <v>91987650227</v>
      </c>
    </row>
    <row r="139" spans="1:7" ht="15" thickBot="1" x14ac:dyDescent="0.35">
      <c r="A139" s="5" t="s">
        <v>30</v>
      </c>
      <c r="B139" s="5">
        <v>1000000138</v>
      </c>
      <c r="C139" s="5">
        <v>89000</v>
      </c>
      <c r="D139" s="5" t="s">
        <v>31</v>
      </c>
      <c r="E139" s="5" t="s">
        <v>13</v>
      </c>
      <c r="F139" s="5" t="s">
        <v>166</v>
      </c>
      <c r="G139" s="5">
        <f>91 +91987650137</f>
        <v>91987650228</v>
      </c>
    </row>
    <row r="140" spans="1:7" ht="15" thickBot="1" x14ac:dyDescent="0.35">
      <c r="A140" s="5" t="s">
        <v>33</v>
      </c>
      <c r="B140" s="5">
        <v>1000000139</v>
      </c>
      <c r="C140" s="5">
        <v>46000</v>
      </c>
      <c r="D140" s="5" t="s">
        <v>34</v>
      </c>
      <c r="E140" s="5" t="s">
        <v>9</v>
      </c>
      <c r="F140" s="5" t="s">
        <v>167</v>
      </c>
      <c r="G140" s="5">
        <f>91 +91987650138</f>
        <v>91987650229</v>
      </c>
    </row>
    <row r="141" spans="1:7" ht="15" thickBot="1" x14ac:dyDescent="0.35">
      <c r="A141" s="5" t="s">
        <v>36</v>
      </c>
      <c r="B141" s="5">
        <v>1000000140</v>
      </c>
      <c r="C141" s="5">
        <v>77000</v>
      </c>
      <c r="D141" s="5" t="s">
        <v>37</v>
      </c>
      <c r="E141" s="5" t="s">
        <v>13</v>
      </c>
      <c r="F141" s="5" t="s">
        <v>168</v>
      </c>
      <c r="G141" s="5">
        <f>91 +91987650139</f>
        <v>91987650230</v>
      </c>
    </row>
    <row r="142" spans="1:7" ht="15" thickBot="1" x14ac:dyDescent="0.35">
      <c r="A142" s="5" t="s">
        <v>7</v>
      </c>
      <c r="B142" s="5">
        <v>1000000141</v>
      </c>
      <c r="C142" s="5">
        <v>50000</v>
      </c>
      <c r="D142" s="5" t="s">
        <v>8</v>
      </c>
      <c r="E142" s="5" t="s">
        <v>9</v>
      </c>
      <c r="F142" s="5" t="s">
        <v>169</v>
      </c>
      <c r="G142" s="5">
        <f>91 +91987650140</f>
        <v>91987650231</v>
      </c>
    </row>
    <row r="143" spans="1:7" ht="15" thickBot="1" x14ac:dyDescent="0.35">
      <c r="A143" s="5" t="s">
        <v>11</v>
      </c>
      <c r="B143" s="5">
        <v>1000000142</v>
      </c>
      <c r="C143" s="5">
        <v>75000</v>
      </c>
      <c r="D143" s="5" t="s">
        <v>12</v>
      </c>
      <c r="E143" s="5" t="s">
        <v>13</v>
      </c>
      <c r="F143" s="5" t="s">
        <v>170</v>
      </c>
      <c r="G143" s="5">
        <f>91 +91987650141</f>
        <v>91987650232</v>
      </c>
    </row>
    <row r="144" spans="1:7" ht="15" thickBot="1" x14ac:dyDescent="0.35">
      <c r="A144" s="5" t="s">
        <v>15</v>
      </c>
      <c r="B144" s="5">
        <v>1000000143</v>
      </c>
      <c r="C144" s="5">
        <v>120000</v>
      </c>
      <c r="D144" s="5" t="s">
        <v>16</v>
      </c>
      <c r="E144" s="5" t="s">
        <v>9</v>
      </c>
      <c r="F144" s="5" t="s">
        <v>171</v>
      </c>
      <c r="G144" s="5">
        <f>91 +91987650142</f>
        <v>91987650233</v>
      </c>
    </row>
    <row r="145" spans="1:7" ht="15" thickBot="1" x14ac:dyDescent="0.35">
      <c r="A145" s="5" t="s">
        <v>18</v>
      </c>
      <c r="B145" s="5">
        <v>1000000144</v>
      </c>
      <c r="C145" s="5">
        <v>45000</v>
      </c>
      <c r="D145" s="5" t="s">
        <v>19</v>
      </c>
      <c r="E145" s="5" t="s">
        <v>13</v>
      </c>
      <c r="F145" s="5" t="s">
        <v>172</v>
      </c>
      <c r="G145" s="5">
        <f>91 +91987650143</f>
        <v>91987650234</v>
      </c>
    </row>
    <row r="146" spans="1:7" ht="15" thickBot="1" x14ac:dyDescent="0.35">
      <c r="A146" s="5" t="s">
        <v>21</v>
      </c>
      <c r="B146" s="5">
        <v>1000000145</v>
      </c>
      <c r="C146" s="5">
        <v>98000</v>
      </c>
      <c r="D146" s="5" t="s">
        <v>22</v>
      </c>
      <c r="E146" s="5" t="s">
        <v>9</v>
      </c>
      <c r="F146" s="5" t="s">
        <v>173</v>
      </c>
      <c r="G146" s="5">
        <f>91 +91987650144</f>
        <v>91987650235</v>
      </c>
    </row>
    <row r="147" spans="1:7" ht="15" thickBot="1" x14ac:dyDescent="0.35">
      <c r="A147" s="5" t="s">
        <v>24</v>
      </c>
      <c r="B147" s="5">
        <v>1000000146</v>
      </c>
      <c r="C147" s="5">
        <v>67000</v>
      </c>
      <c r="D147" s="5" t="s">
        <v>25</v>
      </c>
      <c r="E147" s="5" t="s">
        <v>13</v>
      </c>
      <c r="F147" s="5" t="s">
        <v>174</v>
      </c>
      <c r="G147" s="5">
        <f>91 +91987650145</f>
        <v>91987650236</v>
      </c>
    </row>
    <row r="148" spans="1:7" ht="15" thickBot="1" x14ac:dyDescent="0.35">
      <c r="A148" s="5" t="s">
        <v>27</v>
      </c>
      <c r="B148" s="5">
        <v>1000000147</v>
      </c>
      <c r="C148" s="5">
        <v>56000</v>
      </c>
      <c r="D148" s="5" t="s">
        <v>28</v>
      </c>
      <c r="E148" s="5" t="s">
        <v>9</v>
      </c>
      <c r="F148" s="5" t="s">
        <v>175</v>
      </c>
      <c r="G148" s="5">
        <f>91 +91987650146</f>
        <v>91987650237</v>
      </c>
    </row>
    <row r="149" spans="1:7" ht="15" thickBot="1" x14ac:dyDescent="0.35">
      <c r="A149" s="5" t="s">
        <v>30</v>
      </c>
      <c r="B149" s="5">
        <v>1000000148</v>
      </c>
      <c r="C149" s="5">
        <v>89000</v>
      </c>
      <c r="D149" s="5" t="s">
        <v>31</v>
      </c>
      <c r="E149" s="5" t="s">
        <v>13</v>
      </c>
      <c r="F149" s="5" t="s">
        <v>176</v>
      </c>
      <c r="G149" s="5">
        <f>91 +91987650147</f>
        <v>91987650238</v>
      </c>
    </row>
    <row r="150" spans="1:7" ht="15" thickBot="1" x14ac:dyDescent="0.35">
      <c r="A150" s="5" t="s">
        <v>33</v>
      </c>
      <c r="B150" s="5">
        <v>1000000149</v>
      </c>
      <c r="C150" s="5">
        <v>46000</v>
      </c>
      <c r="D150" s="5" t="s">
        <v>34</v>
      </c>
      <c r="E150" s="5" t="s">
        <v>9</v>
      </c>
      <c r="F150" s="5" t="s">
        <v>177</v>
      </c>
      <c r="G150" s="5">
        <f>91 +91987650148</f>
        <v>91987650239</v>
      </c>
    </row>
    <row r="151" spans="1:7" ht="15" thickBot="1" x14ac:dyDescent="0.35">
      <c r="A151" s="5" t="s">
        <v>36</v>
      </c>
      <c r="B151" s="5">
        <v>1000000150</v>
      </c>
      <c r="C151" s="5">
        <v>77000</v>
      </c>
      <c r="D151" s="5" t="s">
        <v>37</v>
      </c>
      <c r="E151" s="5" t="s">
        <v>13</v>
      </c>
      <c r="F151" s="5" t="s">
        <v>178</v>
      </c>
      <c r="G151" s="5">
        <f>91 +91987650149</f>
        <v>91987650240</v>
      </c>
    </row>
    <row r="152" spans="1:7" ht="15" thickBot="1" x14ac:dyDescent="0.35">
      <c r="A152" s="5" t="s">
        <v>7</v>
      </c>
      <c r="B152" s="5">
        <v>1000000151</v>
      </c>
      <c r="C152" s="5">
        <v>50000</v>
      </c>
      <c r="D152" s="5" t="s">
        <v>8</v>
      </c>
      <c r="E152" s="5" t="s">
        <v>9</v>
      </c>
      <c r="F152" s="5" t="s">
        <v>179</v>
      </c>
      <c r="G152" s="5">
        <f>91 +91987650150</f>
        <v>91987650241</v>
      </c>
    </row>
    <row r="153" spans="1:7" ht="15" thickBot="1" x14ac:dyDescent="0.35">
      <c r="A153" s="5" t="s">
        <v>11</v>
      </c>
      <c r="B153" s="5">
        <v>1000000152</v>
      </c>
      <c r="C153" s="5">
        <v>75000</v>
      </c>
      <c r="D153" s="5" t="s">
        <v>12</v>
      </c>
      <c r="E153" s="5" t="s">
        <v>13</v>
      </c>
      <c r="F153" s="5" t="s">
        <v>180</v>
      </c>
      <c r="G153" s="5">
        <f>91 +91987650151</f>
        <v>91987650242</v>
      </c>
    </row>
    <row r="154" spans="1:7" ht="15" thickBot="1" x14ac:dyDescent="0.35">
      <c r="A154" s="5" t="s">
        <v>15</v>
      </c>
      <c r="B154" s="5">
        <v>1000000153</v>
      </c>
      <c r="C154" s="5">
        <v>120000</v>
      </c>
      <c r="D154" s="5" t="s">
        <v>16</v>
      </c>
      <c r="E154" s="5" t="s">
        <v>9</v>
      </c>
      <c r="F154" s="5" t="s">
        <v>181</v>
      </c>
      <c r="G154" s="5">
        <f>91 +91987650152</f>
        <v>91987650243</v>
      </c>
    </row>
    <row r="155" spans="1:7" ht="15" thickBot="1" x14ac:dyDescent="0.35">
      <c r="A155" s="5" t="s">
        <v>18</v>
      </c>
      <c r="B155" s="5">
        <v>1000000154</v>
      </c>
      <c r="C155" s="5">
        <v>45000</v>
      </c>
      <c r="D155" s="5" t="s">
        <v>19</v>
      </c>
      <c r="E155" s="5" t="s">
        <v>13</v>
      </c>
      <c r="F155" s="5" t="s">
        <v>182</v>
      </c>
      <c r="G155" s="5">
        <f>91 +91987650153</f>
        <v>91987650244</v>
      </c>
    </row>
    <row r="156" spans="1:7" ht="15" thickBot="1" x14ac:dyDescent="0.35">
      <c r="A156" s="5" t="s">
        <v>21</v>
      </c>
      <c r="B156" s="5">
        <v>1000000155</v>
      </c>
      <c r="C156" s="5">
        <v>98000</v>
      </c>
      <c r="D156" s="5" t="s">
        <v>22</v>
      </c>
      <c r="E156" s="5" t="s">
        <v>9</v>
      </c>
      <c r="F156" s="5" t="s">
        <v>183</v>
      </c>
      <c r="G156" s="5">
        <f>91 +91987650154</f>
        <v>91987650245</v>
      </c>
    </row>
    <row r="157" spans="1:7" ht="15" thickBot="1" x14ac:dyDescent="0.35">
      <c r="A157" s="5" t="s">
        <v>24</v>
      </c>
      <c r="B157" s="5">
        <v>1000000156</v>
      </c>
      <c r="C157" s="5">
        <v>67000</v>
      </c>
      <c r="D157" s="5" t="s">
        <v>25</v>
      </c>
      <c r="E157" s="5" t="s">
        <v>13</v>
      </c>
      <c r="F157" s="5" t="s">
        <v>184</v>
      </c>
      <c r="G157" s="5">
        <f>91 +91987650155</f>
        <v>91987650246</v>
      </c>
    </row>
    <row r="158" spans="1:7" ht="15" thickBot="1" x14ac:dyDescent="0.35">
      <c r="A158" s="5" t="s">
        <v>27</v>
      </c>
      <c r="B158" s="5">
        <v>1000000157</v>
      </c>
      <c r="C158" s="5">
        <v>56000</v>
      </c>
      <c r="D158" s="5" t="s">
        <v>28</v>
      </c>
      <c r="E158" s="5" t="s">
        <v>9</v>
      </c>
      <c r="F158" s="5" t="s">
        <v>185</v>
      </c>
      <c r="G158" s="5">
        <f>91 +91987650156</f>
        <v>91987650247</v>
      </c>
    </row>
    <row r="159" spans="1:7" ht="15" thickBot="1" x14ac:dyDescent="0.35">
      <c r="A159" s="5" t="s">
        <v>30</v>
      </c>
      <c r="B159" s="5">
        <v>1000000158</v>
      </c>
      <c r="C159" s="5">
        <v>89000</v>
      </c>
      <c r="D159" s="5" t="s">
        <v>31</v>
      </c>
      <c r="E159" s="5" t="s">
        <v>13</v>
      </c>
      <c r="F159" s="5" t="s">
        <v>186</v>
      </c>
      <c r="G159" s="5">
        <f>91 +91987650157</f>
        <v>91987650248</v>
      </c>
    </row>
    <row r="160" spans="1:7" ht="15" thickBot="1" x14ac:dyDescent="0.35">
      <c r="A160" s="5" t="s">
        <v>33</v>
      </c>
      <c r="B160" s="5">
        <v>1000000159</v>
      </c>
      <c r="C160" s="5">
        <v>46000</v>
      </c>
      <c r="D160" s="5" t="s">
        <v>34</v>
      </c>
      <c r="E160" s="5" t="s">
        <v>9</v>
      </c>
      <c r="F160" s="5" t="s">
        <v>187</v>
      </c>
      <c r="G160" s="5">
        <f>91 +91987650158</f>
        <v>91987650249</v>
      </c>
    </row>
    <row r="161" spans="1:7" ht="15" thickBot="1" x14ac:dyDescent="0.35">
      <c r="A161" s="5" t="s">
        <v>36</v>
      </c>
      <c r="B161" s="5">
        <v>1000000160</v>
      </c>
      <c r="C161" s="5">
        <v>77000</v>
      </c>
      <c r="D161" s="5" t="s">
        <v>37</v>
      </c>
      <c r="E161" s="5" t="s">
        <v>13</v>
      </c>
      <c r="F161" s="5" t="s">
        <v>188</v>
      </c>
      <c r="G161" s="5">
        <f>91 +91987650159</f>
        <v>91987650250</v>
      </c>
    </row>
    <row r="162" spans="1:7" ht="15" thickBot="1" x14ac:dyDescent="0.35">
      <c r="A162" s="5" t="s">
        <v>7</v>
      </c>
      <c r="B162" s="5">
        <v>1000000161</v>
      </c>
      <c r="C162" s="5">
        <v>50000</v>
      </c>
      <c r="D162" s="5" t="s">
        <v>8</v>
      </c>
      <c r="E162" s="5" t="s">
        <v>9</v>
      </c>
      <c r="F162" s="5" t="s">
        <v>189</v>
      </c>
      <c r="G162" s="5">
        <f>91 +91987650160</f>
        <v>91987650251</v>
      </c>
    </row>
    <row r="163" spans="1:7" ht="15" thickBot="1" x14ac:dyDescent="0.35">
      <c r="A163" s="5" t="s">
        <v>11</v>
      </c>
      <c r="B163" s="5">
        <v>1000000162</v>
      </c>
      <c r="C163" s="5">
        <v>75000</v>
      </c>
      <c r="D163" s="5" t="s">
        <v>12</v>
      </c>
      <c r="E163" s="5" t="s">
        <v>13</v>
      </c>
      <c r="F163" s="5" t="s">
        <v>190</v>
      </c>
      <c r="G163" s="5">
        <f>91 +91987650161</f>
        <v>91987650252</v>
      </c>
    </row>
    <row r="164" spans="1:7" ht="15" thickBot="1" x14ac:dyDescent="0.35">
      <c r="A164" s="5" t="s">
        <v>15</v>
      </c>
      <c r="B164" s="5">
        <v>1000000163</v>
      </c>
      <c r="C164" s="5">
        <v>120000</v>
      </c>
      <c r="D164" s="5" t="s">
        <v>16</v>
      </c>
      <c r="E164" s="5" t="s">
        <v>9</v>
      </c>
      <c r="F164" s="5" t="s">
        <v>191</v>
      </c>
      <c r="G164" s="5">
        <f>91 +91987650162</f>
        <v>91987650253</v>
      </c>
    </row>
    <row r="165" spans="1:7" ht="15" thickBot="1" x14ac:dyDescent="0.35">
      <c r="A165" s="5" t="s">
        <v>18</v>
      </c>
      <c r="B165" s="5">
        <v>1000000164</v>
      </c>
      <c r="C165" s="5">
        <v>45000</v>
      </c>
      <c r="D165" s="5" t="s">
        <v>19</v>
      </c>
      <c r="E165" s="5" t="s">
        <v>13</v>
      </c>
      <c r="F165" s="5" t="s">
        <v>192</v>
      </c>
      <c r="G165" s="5">
        <f>91 +91987650163</f>
        <v>91987650254</v>
      </c>
    </row>
    <row r="166" spans="1:7" ht="15" thickBot="1" x14ac:dyDescent="0.35">
      <c r="A166" s="5" t="s">
        <v>21</v>
      </c>
      <c r="B166" s="5">
        <v>1000000165</v>
      </c>
      <c r="C166" s="5">
        <v>98000</v>
      </c>
      <c r="D166" s="5" t="s">
        <v>22</v>
      </c>
      <c r="E166" s="5" t="s">
        <v>9</v>
      </c>
      <c r="F166" s="5" t="s">
        <v>193</v>
      </c>
      <c r="G166" s="5">
        <f>91 +91987650164</f>
        <v>91987650255</v>
      </c>
    </row>
    <row r="167" spans="1:7" ht="15" thickBot="1" x14ac:dyDescent="0.35">
      <c r="A167" s="5" t="s">
        <v>24</v>
      </c>
      <c r="B167" s="5">
        <v>1000000166</v>
      </c>
      <c r="C167" s="5">
        <v>67000</v>
      </c>
      <c r="D167" s="5" t="s">
        <v>25</v>
      </c>
      <c r="E167" s="5" t="s">
        <v>13</v>
      </c>
      <c r="F167" s="5" t="s">
        <v>194</v>
      </c>
      <c r="G167" s="5">
        <f>91 +91987650165</f>
        <v>91987650256</v>
      </c>
    </row>
    <row r="168" spans="1:7" ht="15" thickBot="1" x14ac:dyDescent="0.35">
      <c r="A168" s="5" t="s">
        <v>27</v>
      </c>
      <c r="B168" s="5">
        <v>1000000167</v>
      </c>
      <c r="C168" s="5">
        <v>56000</v>
      </c>
      <c r="D168" s="5" t="s">
        <v>28</v>
      </c>
      <c r="E168" s="5" t="s">
        <v>9</v>
      </c>
      <c r="F168" s="5" t="s">
        <v>195</v>
      </c>
      <c r="G168" s="5">
        <f>91 +91987650166</f>
        <v>91987650257</v>
      </c>
    </row>
    <row r="169" spans="1:7" ht="15" thickBot="1" x14ac:dyDescent="0.35">
      <c r="A169" s="5" t="s">
        <v>30</v>
      </c>
      <c r="B169" s="5">
        <v>1000000168</v>
      </c>
      <c r="C169" s="5">
        <v>89000</v>
      </c>
      <c r="D169" s="5" t="s">
        <v>31</v>
      </c>
      <c r="E169" s="5" t="s">
        <v>13</v>
      </c>
      <c r="F169" s="5" t="s">
        <v>196</v>
      </c>
      <c r="G169" s="5">
        <f>91 +91987650167</f>
        <v>91987650258</v>
      </c>
    </row>
    <row r="170" spans="1:7" ht="15" thickBot="1" x14ac:dyDescent="0.35">
      <c r="A170" s="5" t="s">
        <v>33</v>
      </c>
      <c r="B170" s="5">
        <v>1000000169</v>
      </c>
      <c r="C170" s="5">
        <v>46000</v>
      </c>
      <c r="D170" s="5" t="s">
        <v>34</v>
      </c>
      <c r="E170" s="5" t="s">
        <v>9</v>
      </c>
      <c r="F170" s="5" t="s">
        <v>197</v>
      </c>
      <c r="G170" s="5">
        <f>91 +91987650168</f>
        <v>91987650259</v>
      </c>
    </row>
    <row r="171" spans="1:7" ht="15" thickBot="1" x14ac:dyDescent="0.35">
      <c r="A171" s="5" t="s">
        <v>36</v>
      </c>
      <c r="B171" s="5">
        <v>1000000170</v>
      </c>
      <c r="C171" s="5">
        <v>77000</v>
      </c>
      <c r="D171" s="5" t="s">
        <v>37</v>
      </c>
      <c r="E171" s="5" t="s">
        <v>13</v>
      </c>
      <c r="F171" s="5" t="s">
        <v>198</v>
      </c>
      <c r="G171" s="5">
        <f>91 +91987650169</f>
        <v>91987650260</v>
      </c>
    </row>
    <row r="172" spans="1:7" ht="15" thickBot="1" x14ac:dyDescent="0.35">
      <c r="A172" s="5" t="s">
        <v>7</v>
      </c>
      <c r="B172" s="5">
        <v>1000000171</v>
      </c>
      <c r="C172" s="5">
        <v>50000</v>
      </c>
      <c r="D172" s="5" t="s">
        <v>8</v>
      </c>
      <c r="E172" s="5" t="s">
        <v>9</v>
      </c>
      <c r="F172" s="5" t="s">
        <v>199</v>
      </c>
      <c r="G172" s="5">
        <f>91 +91987650170</f>
        <v>91987650261</v>
      </c>
    </row>
    <row r="173" spans="1:7" ht="15" thickBot="1" x14ac:dyDescent="0.35">
      <c r="A173" s="5" t="s">
        <v>11</v>
      </c>
      <c r="B173" s="5">
        <v>1000000172</v>
      </c>
      <c r="C173" s="5">
        <v>75000</v>
      </c>
      <c r="D173" s="5" t="s">
        <v>12</v>
      </c>
      <c r="E173" s="5" t="s">
        <v>13</v>
      </c>
      <c r="F173" s="5" t="s">
        <v>200</v>
      </c>
      <c r="G173" s="5">
        <f>91 +91987650171</f>
        <v>91987650262</v>
      </c>
    </row>
    <row r="174" spans="1:7" ht="15" thickBot="1" x14ac:dyDescent="0.35">
      <c r="A174" s="5" t="s">
        <v>15</v>
      </c>
      <c r="B174" s="5">
        <v>1000000173</v>
      </c>
      <c r="C174" s="5">
        <v>120000</v>
      </c>
      <c r="D174" s="5" t="s">
        <v>16</v>
      </c>
      <c r="E174" s="5" t="s">
        <v>9</v>
      </c>
      <c r="F174" s="5" t="s">
        <v>201</v>
      </c>
      <c r="G174" s="5">
        <f>91 +91987650172</f>
        <v>91987650263</v>
      </c>
    </row>
    <row r="175" spans="1:7" ht="15" thickBot="1" x14ac:dyDescent="0.35">
      <c r="A175" s="5" t="s">
        <v>18</v>
      </c>
      <c r="B175" s="5">
        <v>1000000174</v>
      </c>
      <c r="C175" s="5">
        <v>45000</v>
      </c>
      <c r="D175" s="5" t="s">
        <v>19</v>
      </c>
      <c r="E175" s="5" t="s">
        <v>13</v>
      </c>
      <c r="F175" s="5" t="s">
        <v>202</v>
      </c>
      <c r="G175" s="5">
        <f>91 +91987650173</f>
        <v>91987650264</v>
      </c>
    </row>
    <row r="176" spans="1:7" ht="15" thickBot="1" x14ac:dyDescent="0.35">
      <c r="A176" s="5" t="s">
        <v>21</v>
      </c>
      <c r="B176" s="5">
        <v>1000000175</v>
      </c>
      <c r="C176" s="5">
        <v>98000</v>
      </c>
      <c r="D176" s="5" t="s">
        <v>22</v>
      </c>
      <c r="E176" s="5" t="s">
        <v>9</v>
      </c>
      <c r="F176" s="5" t="s">
        <v>203</v>
      </c>
      <c r="G176" s="5">
        <f>91 +91987650174</f>
        <v>91987650265</v>
      </c>
    </row>
    <row r="177" spans="1:7" ht="15" thickBot="1" x14ac:dyDescent="0.35">
      <c r="A177" s="5" t="s">
        <v>24</v>
      </c>
      <c r="B177" s="5">
        <v>1000000176</v>
      </c>
      <c r="C177" s="5">
        <v>67000</v>
      </c>
      <c r="D177" s="5" t="s">
        <v>25</v>
      </c>
      <c r="E177" s="5" t="s">
        <v>13</v>
      </c>
      <c r="F177" s="5" t="s">
        <v>204</v>
      </c>
      <c r="G177" s="5">
        <f>91 +91987650175</f>
        <v>91987650266</v>
      </c>
    </row>
    <row r="178" spans="1:7" ht="15" thickBot="1" x14ac:dyDescent="0.35">
      <c r="A178" s="5" t="s">
        <v>27</v>
      </c>
      <c r="B178" s="5">
        <v>1000000177</v>
      </c>
      <c r="C178" s="5">
        <v>56000</v>
      </c>
      <c r="D178" s="5" t="s">
        <v>28</v>
      </c>
      <c r="E178" s="5" t="s">
        <v>9</v>
      </c>
      <c r="F178" s="5" t="s">
        <v>205</v>
      </c>
      <c r="G178" s="5">
        <f>91 +91987650176</f>
        <v>91987650267</v>
      </c>
    </row>
    <row r="179" spans="1:7" ht="15" thickBot="1" x14ac:dyDescent="0.35">
      <c r="A179" s="5" t="s">
        <v>30</v>
      </c>
      <c r="B179" s="5">
        <v>1000000178</v>
      </c>
      <c r="C179" s="5">
        <v>89000</v>
      </c>
      <c r="D179" s="5" t="s">
        <v>31</v>
      </c>
      <c r="E179" s="5" t="s">
        <v>13</v>
      </c>
      <c r="F179" s="5" t="s">
        <v>206</v>
      </c>
      <c r="G179" s="5">
        <f>91 +91987650177</f>
        <v>91987650268</v>
      </c>
    </row>
    <row r="180" spans="1:7" ht="15" thickBot="1" x14ac:dyDescent="0.35">
      <c r="A180" s="5" t="s">
        <v>33</v>
      </c>
      <c r="B180" s="5">
        <v>1000000179</v>
      </c>
      <c r="C180" s="5">
        <v>46000</v>
      </c>
      <c r="D180" s="5" t="s">
        <v>34</v>
      </c>
      <c r="E180" s="5" t="s">
        <v>9</v>
      </c>
      <c r="F180" s="5" t="s">
        <v>207</v>
      </c>
      <c r="G180" s="5">
        <f>91 +91987650178</f>
        <v>91987650269</v>
      </c>
    </row>
    <row r="181" spans="1:7" ht="15" thickBot="1" x14ac:dyDescent="0.35">
      <c r="A181" s="5" t="s">
        <v>36</v>
      </c>
      <c r="B181" s="5">
        <v>1000000180</v>
      </c>
      <c r="C181" s="5">
        <v>77000</v>
      </c>
      <c r="D181" s="5" t="s">
        <v>37</v>
      </c>
      <c r="E181" s="5" t="s">
        <v>13</v>
      </c>
      <c r="F181" s="5" t="s">
        <v>208</v>
      </c>
      <c r="G181" s="5">
        <f>91 +91987650179</f>
        <v>91987650270</v>
      </c>
    </row>
    <row r="182" spans="1:7" ht="15" thickBot="1" x14ac:dyDescent="0.35">
      <c r="A182" s="5" t="s">
        <v>7</v>
      </c>
      <c r="B182" s="5">
        <v>1000000181</v>
      </c>
      <c r="C182" s="5">
        <v>50000</v>
      </c>
      <c r="D182" s="5" t="s">
        <v>8</v>
      </c>
      <c r="E182" s="5" t="s">
        <v>9</v>
      </c>
      <c r="F182" s="5" t="s">
        <v>209</v>
      </c>
      <c r="G182" s="5">
        <f>91 +91987650180</f>
        <v>91987650271</v>
      </c>
    </row>
    <row r="183" spans="1:7" ht="15" thickBot="1" x14ac:dyDescent="0.35">
      <c r="A183" s="5" t="s">
        <v>11</v>
      </c>
      <c r="B183" s="5">
        <v>1000000182</v>
      </c>
      <c r="C183" s="5">
        <v>75000</v>
      </c>
      <c r="D183" s="5" t="s">
        <v>12</v>
      </c>
      <c r="E183" s="5" t="s">
        <v>13</v>
      </c>
      <c r="F183" s="5" t="s">
        <v>210</v>
      </c>
      <c r="G183" s="5">
        <f>91 +91987650181</f>
        <v>91987650272</v>
      </c>
    </row>
    <row r="184" spans="1:7" ht="15" thickBot="1" x14ac:dyDescent="0.35">
      <c r="A184" s="5" t="s">
        <v>15</v>
      </c>
      <c r="B184" s="5">
        <v>1000000183</v>
      </c>
      <c r="C184" s="5">
        <v>120000</v>
      </c>
      <c r="D184" s="5" t="s">
        <v>16</v>
      </c>
      <c r="E184" s="5" t="s">
        <v>9</v>
      </c>
      <c r="F184" s="5" t="s">
        <v>211</v>
      </c>
      <c r="G184" s="5">
        <f>91 +91987650182</f>
        <v>91987650273</v>
      </c>
    </row>
    <row r="185" spans="1:7" ht="15" thickBot="1" x14ac:dyDescent="0.35">
      <c r="A185" s="5" t="s">
        <v>18</v>
      </c>
      <c r="B185" s="5">
        <v>1000000184</v>
      </c>
      <c r="C185" s="5">
        <v>45000</v>
      </c>
      <c r="D185" s="5" t="s">
        <v>19</v>
      </c>
      <c r="E185" s="5" t="s">
        <v>13</v>
      </c>
      <c r="F185" s="5" t="s">
        <v>212</v>
      </c>
      <c r="G185" s="5">
        <f>91 +91987650183</f>
        <v>91987650274</v>
      </c>
    </row>
    <row r="186" spans="1:7" ht="15" thickBot="1" x14ac:dyDescent="0.35">
      <c r="A186" s="5" t="s">
        <v>21</v>
      </c>
      <c r="B186" s="5">
        <v>1000000185</v>
      </c>
      <c r="C186" s="5">
        <v>98000</v>
      </c>
      <c r="D186" s="5" t="s">
        <v>22</v>
      </c>
      <c r="E186" s="5" t="s">
        <v>9</v>
      </c>
      <c r="F186" s="5" t="s">
        <v>213</v>
      </c>
      <c r="G186" s="5">
        <f>91 +91987650184</f>
        <v>91987650275</v>
      </c>
    </row>
    <row r="187" spans="1:7" ht="15" thickBot="1" x14ac:dyDescent="0.35">
      <c r="A187" s="5" t="s">
        <v>24</v>
      </c>
      <c r="B187" s="5">
        <v>1000000186</v>
      </c>
      <c r="C187" s="5">
        <v>67000</v>
      </c>
      <c r="D187" s="5" t="s">
        <v>25</v>
      </c>
      <c r="E187" s="5" t="s">
        <v>13</v>
      </c>
      <c r="F187" s="5" t="s">
        <v>214</v>
      </c>
      <c r="G187" s="5">
        <f>91 +91987650185</f>
        <v>91987650276</v>
      </c>
    </row>
    <row r="188" spans="1:7" ht="15" thickBot="1" x14ac:dyDescent="0.35">
      <c r="A188" s="5" t="s">
        <v>27</v>
      </c>
      <c r="B188" s="5">
        <v>1000000187</v>
      </c>
      <c r="C188" s="5">
        <v>56000</v>
      </c>
      <c r="D188" s="5" t="s">
        <v>28</v>
      </c>
      <c r="E188" s="5" t="s">
        <v>9</v>
      </c>
      <c r="F188" s="5" t="s">
        <v>215</v>
      </c>
      <c r="G188" s="5">
        <f>91 +91987650186</f>
        <v>91987650277</v>
      </c>
    </row>
    <row r="189" spans="1:7" ht="15" thickBot="1" x14ac:dyDescent="0.35">
      <c r="A189" s="5" t="s">
        <v>30</v>
      </c>
      <c r="B189" s="5">
        <v>1000000188</v>
      </c>
      <c r="C189" s="5">
        <v>89000</v>
      </c>
      <c r="D189" s="5" t="s">
        <v>31</v>
      </c>
      <c r="E189" s="5" t="s">
        <v>13</v>
      </c>
      <c r="F189" s="5" t="s">
        <v>216</v>
      </c>
      <c r="G189" s="5">
        <f>91 +91987650187</f>
        <v>91987650278</v>
      </c>
    </row>
    <row r="190" spans="1:7" ht="15" thickBot="1" x14ac:dyDescent="0.35">
      <c r="A190" s="5" t="s">
        <v>33</v>
      </c>
      <c r="B190" s="5">
        <v>1000000189</v>
      </c>
      <c r="C190" s="5">
        <v>46000</v>
      </c>
      <c r="D190" s="5" t="s">
        <v>34</v>
      </c>
      <c r="E190" s="5" t="s">
        <v>9</v>
      </c>
      <c r="F190" s="5" t="s">
        <v>217</v>
      </c>
      <c r="G190" s="5">
        <f>91 +91987650188</f>
        <v>91987650279</v>
      </c>
    </row>
    <row r="191" spans="1:7" ht="15" thickBot="1" x14ac:dyDescent="0.35">
      <c r="A191" s="5" t="s">
        <v>36</v>
      </c>
      <c r="B191" s="5">
        <v>1000000190</v>
      </c>
      <c r="C191" s="5">
        <v>77000</v>
      </c>
      <c r="D191" s="5" t="s">
        <v>37</v>
      </c>
      <c r="E191" s="5" t="s">
        <v>13</v>
      </c>
      <c r="F191" s="5" t="s">
        <v>218</v>
      </c>
      <c r="G191" s="5">
        <f>91 +91987650189</f>
        <v>91987650280</v>
      </c>
    </row>
    <row r="192" spans="1:7" ht="15" thickBot="1" x14ac:dyDescent="0.35">
      <c r="A192" s="5" t="s">
        <v>7</v>
      </c>
      <c r="B192" s="5">
        <v>1000000191</v>
      </c>
      <c r="C192" s="5">
        <v>50000</v>
      </c>
      <c r="D192" s="5" t="s">
        <v>8</v>
      </c>
      <c r="E192" s="5" t="s">
        <v>9</v>
      </c>
      <c r="F192" s="5" t="s">
        <v>219</v>
      </c>
      <c r="G192" s="5">
        <f>91 +91987650190</f>
        <v>91987650281</v>
      </c>
    </row>
    <row r="193" spans="1:7" ht="15" thickBot="1" x14ac:dyDescent="0.35">
      <c r="A193" s="5" t="s">
        <v>11</v>
      </c>
      <c r="B193" s="5">
        <v>1000000192</v>
      </c>
      <c r="C193" s="5">
        <v>75000</v>
      </c>
      <c r="D193" s="5" t="s">
        <v>12</v>
      </c>
      <c r="E193" s="5" t="s">
        <v>13</v>
      </c>
      <c r="F193" s="5" t="s">
        <v>220</v>
      </c>
      <c r="G193" s="5">
        <f>91 +91987650191</f>
        <v>91987650282</v>
      </c>
    </row>
    <row r="194" spans="1:7" ht="15" thickBot="1" x14ac:dyDescent="0.35">
      <c r="A194" s="5" t="s">
        <v>15</v>
      </c>
      <c r="B194" s="5">
        <v>1000000193</v>
      </c>
      <c r="C194" s="5">
        <v>120000</v>
      </c>
      <c r="D194" s="5" t="s">
        <v>16</v>
      </c>
      <c r="E194" s="5" t="s">
        <v>9</v>
      </c>
      <c r="F194" s="5" t="s">
        <v>221</v>
      </c>
      <c r="G194" s="5">
        <f>91 +91987650192</f>
        <v>91987650283</v>
      </c>
    </row>
    <row r="195" spans="1:7" ht="15" thickBot="1" x14ac:dyDescent="0.35">
      <c r="A195" s="5" t="s">
        <v>18</v>
      </c>
      <c r="B195" s="5">
        <v>1000000194</v>
      </c>
      <c r="C195" s="5">
        <v>45000</v>
      </c>
      <c r="D195" s="5" t="s">
        <v>19</v>
      </c>
      <c r="E195" s="5" t="s">
        <v>13</v>
      </c>
      <c r="F195" s="5" t="s">
        <v>222</v>
      </c>
      <c r="G195" s="5">
        <f>91 +91987650193</f>
        <v>91987650284</v>
      </c>
    </row>
    <row r="196" spans="1:7" ht="15" thickBot="1" x14ac:dyDescent="0.35">
      <c r="A196" s="5" t="s">
        <v>21</v>
      </c>
      <c r="B196" s="5">
        <v>1000000195</v>
      </c>
      <c r="C196" s="5">
        <v>98000</v>
      </c>
      <c r="D196" s="5" t="s">
        <v>22</v>
      </c>
      <c r="E196" s="5" t="s">
        <v>9</v>
      </c>
      <c r="F196" s="5" t="s">
        <v>223</v>
      </c>
      <c r="G196" s="5">
        <f>91 +91987650194</f>
        <v>91987650285</v>
      </c>
    </row>
    <row r="197" spans="1:7" ht="15" thickBot="1" x14ac:dyDescent="0.35">
      <c r="A197" s="5" t="s">
        <v>24</v>
      </c>
      <c r="B197" s="5">
        <v>1000000196</v>
      </c>
      <c r="C197" s="5">
        <v>67000</v>
      </c>
      <c r="D197" s="5" t="s">
        <v>25</v>
      </c>
      <c r="E197" s="5" t="s">
        <v>13</v>
      </c>
      <c r="F197" s="5" t="s">
        <v>224</v>
      </c>
      <c r="G197" s="5">
        <f>91 +91987650195</f>
        <v>91987650286</v>
      </c>
    </row>
    <row r="198" spans="1:7" ht="15" thickBot="1" x14ac:dyDescent="0.35">
      <c r="A198" s="5" t="s">
        <v>27</v>
      </c>
      <c r="B198" s="5">
        <v>1000000197</v>
      </c>
      <c r="C198" s="5">
        <v>56000</v>
      </c>
      <c r="D198" s="5" t="s">
        <v>28</v>
      </c>
      <c r="E198" s="5" t="s">
        <v>9</v>
      </c>
      <c r="F198" s="5" t="s">
        <v>225</v>
      </c>
      <c r="G198" s="5">
        <f>91 +91987650196</f>
        <v>91987650287</v>
      </c>
    </row>
    <row r="199" spans="1:7" ht="15" thickBot="1" x14ac:dyDescent="0.35">
      <c r="A199" s="5" t="s">
        <v>30</v>
      </c>
      <c r="B199" s="5">
        <v>1000000198</v>
      </c>
      <c r="C199" s="5">
        <v>89000</v>
      </c>
      <c r="D199" s="5" t="s">
        <v>31</v>
      </c>
      <c r="E199" s="5" t="s">
        <v>13</v>
      </c>
      <c r="F199" s="5" t="s">
        <v>226</v>
      </c>
      <c r="G199" s="5">
        <f>91 +91987650197</f>
        <v>91987650288</v>
      </c>
    </row>
    <row r="200" spans="1:7" ht="15" thickBot="1" x14ac:dyDescent="0.35">
      <c r="A200" s="5" t="s">
        <v>33</v>
      </c>
      <c r="B200" s="5">
        <v>1000000199</v>
      </c>
      <c r="C200" s="5">
        <v>46000</v>
      </c>
      <c r="D200" s="5" t="s">
        <v>34</v>
      </c>
      <c r="E200" s="5" t="s">
        <v>9</v>
      </c>
      <c r="F200" s="5" t="s">
        <v>227</v>
      </c>
      <c r="G200" s="5">
        <f>91 +91987650198</f>
        <v>91987650289</v>
      </c>
    </row>
    <row r="201" spans="1:7" ht="15" thickBot="1" x14ac:dyDescent="0.35">
      <c r="A201" s="5" t="s">
        <v>36</v>
      </c>
      <c r="B201" s="5">
        <v>1000000200</v>
      </c>
      <c r="C201" s="5">
        <v>77000</v>
      </c>
      <c r="D201" s="5" t="s">
        <v>37</v>
      </c>
      <c r="E201" s="5" t="s">
        <v>13</v>
      </c>
      <c r="F201" s="5" t="s">
        <v>228</v>
      </c>
      <c r="G201" s="5">
        <f>91 +91987650199</f>
        <v>91987650290</v>
      </c>
    </row>
  </sheetData>
  <mergeCells count="1"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47CB-ACCD-4241-83CC-19618DEA44BA}">
  <dimension ref="A1:K201"/>
  <sheetViews>
    <sheetView topLeftCell="F1" zoomScale="115" zoomScaleNormal="115" workbookViewId="0">
      <selection activeCell="K18" sqref="K18"/>
    </sheetView>
  </sheetViews>
  <sheetFormatPr defaultRowHeight="14.4" x14ac:dyDescent="0.3"/>
  <cols>
    <col min="1" max="1" width="18.5546875" customWidth="1"/>
    <col min="2" max="2" width="21.109375" customWidth="1"/>
    <col min="3" max="3" width="18.33203125" customWidth="1"/>
    <col min="4" max="4" width="21.6640625" customWidth="1"/>
    <col min="5" max="5" width="22" customWidth="1"/>
    <col min="6" max="6" width="25.33203125" customWidth="1"/>
    <col min="7" max="7" width="22.77734375" customWidth="1"/>
    <col min="10" max="10" width="19" customWidth="1"/>
    <col min="11" max="11" width="20.33203125" bestFit="1" customWidth="1"/>
  </cols>
  <sheetData>
    <row r="1" spans="1:11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1" ht="15" thickBot="1" x14ac:dyDescent="0.35">
      <c r="A2" s="5" t="s">
        <v>7</v>
      </c>
      <c r="B2" s="5">
        <v>1000000001</v>
      </c>
      <c r="C2" s="5">
        <v>50000</v>
      </c>
      <c r="D2" s="5" t="s">
        <v>8</v>
      </c>
      <c r="E2" s="5" t="s">
        <v>9</v>
      </c>
      <c r="F2" s="5" t="s">
        <v>10</v>
      </c>
      <c r="G2" s="3">
        <f>91 +91987650000</f>
        <v>91987650091</v>
      </c>
    </row>
    <row r="3" spans="1:11" ht="15" thickBot="1" x14ac:dyDescent="0.35">
      <c r="A3" s="5" t="s">
        <v>11</v>
      </c>
      <c r="B3" s="5">
        <v>1000000002</v>
      </c>
      <c r="C3" s="5">
        <v>75000</v>
      </c>
      <c r="D3" s="5" t="s">
        <v>12</v>
      </c>
      <c r="E3" s="5" t="s">
        <v>13</v>
      </c>
      <c r="F3" s="5" t="s">
        <v>14</v>
      </c>
      <c r="G3" s="5">
        <f>91 +91987650001</f>
        <v>91987650092</v>
      </c>
      <c r="J3" s="20" t="s">
        <v>248</v>
      </c>
      <c r="K3" s="20"/>
    </row>
    <row r="4" spans="1:11" ht="15" thickBot="1" x14ac:dyDescent="0.35">
      <c r="A4" s="5" t="s">
        <v>15</v>
      </c>
      <c r="B4" s="5">
        <v>1000000003</v>
      </c>
      <c r="C4" s="5">
        <v>120000</v>
      </c>
      <c r="D4" s="5" t="s">
        <v>16</v>
      </c>
      <c r="E4" s="5" t="s">
        <v>9</v>
      </c>
      <c r="F4" s="5" t="s">
        <v>17</v>
      </c>
      <c r="G4" s="5">
        <f>91 +91987650002</f>
        <v>91987650093</v>
      </c>
    </row>
    <row r="5" spans="1:11" ht="15" thickBot="1" x14ac:dyDescent="0.35">
      <c r="A5" s="5" t="s">
        <v>18</v>
      </c>
      <c r="B5" s="5">
        <v>1000000004</v>
      </c>
      <c r="C5" s="5">
        <v>45000</v>
      </c>
      <c r="D5" s="5" t="s">
        <v>19</v>
      </c>
      <c r="E5" s="5" t="s">
        <v>13</v>
      </c>
      <c r="F5" s="5" t="s">
        <v>20</v>
      </c>
      <c r="G5" s="5">
        <f>91 +91987650003</f>
        <v>91987650094</v>
      </c>
      <c r="J5" s="6" t="s">
        <v>1</v>
      </c>
      <c r="K5" s="7">
        <v>1000000009</v>
      </c>
    </row>
    <row r="6" spans="1:11" ht="15" thickBot="1" x14ac:dyDescent="0.35">
      <c r="A6" s="5" t="s">
        <v>21</v>
      </c>
      <c r="B6" s="5">
        <v>1000000005</v>
      </c>
      <c r="C6" s="5">
        <v>98000</v>
      </c>
      <c r="D6" s="5" t="s">
        <v>22</v>
      </c>
      <c r="E6" s="5" t="s">
        <v>9</v>
      </c>
      <c r="F6" s="5" t="s">
        <v>23</v>
      </c>
      <c r="G6" s="5">
        <f>91 +91987650004</f>
        <v>91987650095</v>
      </c>
      <c r="J6" s="6" t="s">
        <v>0</v>
      </c>
      <c r="K6" s="8" t="str" cm="1">
        <f t="array" ref="K6">_xlfn.XLOOKUP($K$5,$B$1:$B$201,INDEX($A$1:$G$201,,MATCH(J6,$A$1:$G$1,0)))</f>
        <v>Aditya Malhotra</v>
      </c>
    </row>
    <row r="7" spans="1:11" ht="15" thickBot="1" x14ac:dyDescent="0.35">
      <c r="A7" s="5" t="s">
        <v>24</v>
      </c>
      <c r="B7" s="5">
        <v>1000000006</v>
      </c>
      <c r="C7" s="5">
        <v>67000</v>
      </c>
      <c r="D7" s="5" t="s">
        <v>25</v>
      </c>
      <c r="E7" s="5" t="s">
        <v>13</v>
      </c>
      <c r="F7" s="5" t="s">
        <v>26</v>
      </c>
      <c r="G7" s="5">
        <f>91 +91987650005</f>
        <v>91987650096</v>
      </c>
      <c r="J7" s="4" t="s">
        <v>2</v>
      </c>
      <c r="K7" s="8" cm="1">
        <f t="array" ref="K7">_xlfn.XLOOKUP($K$5,$B$1:$B$201,INDEX($A$1:$G$201,,MATCH(J7,$A$1:$G$1,0)))</f>
        <v>46000</v>
      </c>
    </row>
    <row r="8" spans="1:11" ht="15" thickBot="1" x14ac:dyDescent="0.35">
      <c r="A8" s="5" t="s">
        <v>27</v>
      </c>
      <c r="B8" s="5">
        <v>1000000007</v>
      </c>
      <c r="C8" s="5">
        <v>56000</v>
      </c>
      <c r="D8" s="5" t="s">
        <v>28</v>
      </c>
      <c r="E8" s="5" t="s">
        <v>9</v>
      </c>
      <c r="F8" s="5" t="s">
        <v>29</v>
      </c>
      <c r="G8" s="5">
        <f>91 +91987650006</f>
        <v>91987650097</v>
      </c>
      <c r="J8" s="4" t="s">
        <v>3</v>
      </c>
      <c r="K8" s="8" t="str" cm="1">
        <f t="array" ref="K8">_xlfn.XLOOKUP($K$5,$B$1:$B$201,INDEX($A$1:$G$201,,MATCH(J8,$A$1:$G$1,0)))</f>
        <v>Surat</v>
      </c>
    </row>
    <row r="9" spans="1:11" ht="15" thickBot="1" x14ac:dyDescent="0.35">
      <c r="A9" s="5" t="s">
        <v>30</v>
      </c>
      <c r="B9" s="5">
        <v>1000000008</v>
      </c>
      <c r="C9" s="5">
        <v>89000</v>
      </c>
      <c r="D9" s="5" t="s">
        <v>31</v>
      </c>
      <c r="E9" s="5" t="s">
        <v>13</v>
      </c>
      <c r="F9" s="5" t="s">
        <v>32</v>
      </c>
      <c r="G9" s="5">
        <f>91 +91987650007</f>
        <v>91987650098</v>
      </c>
      <c r="J9" s="4" t="s">
        <v>4</v>
      </c>
      <c r="K9" s="8" t="str" cm="1">
        <f t="array" ref="K9">_xlfn.XLOOKUP($K$5,$B$1:$B$201,INDEX($A$1:$G$201,,MATCH(J9,$A$1:$G$1,0)))</f>
        <v>Savings</v>
      </c>
    </row>
    <row r="10" spans="1:11" ht="15" thickBot="1" x14ac:dyDescent="0.35">
      <c r="A10" s="5" t="s">
        <v>33</v>
      </c>
      <c r="B10" s="5">
        <v>1000000009</v>
      </c>
      <c r="C10" s="5">
        <v>46000</v>
      </c>
      <c r="D10" s="5" t="s">
        <v>34</v>
      </c>
      <c r="E10" s="5" t="s">
        <v>9</v>
      </c>
      <c r="F10" s="5" t="s">
        <v>35</v>
      </c>
      <c r="G10" s="5">
        <f>91 +91987650008</f>
        <v>91987650099</v>
      </c>
      <c r="J10" s="4" t="s">
        <v>5</v>
      </c>
      <c r="K10" s="8" t="str" cm="1">
        <f t="array" ref="K10">_xlfn.XLOOKUP($K$5,$B$1:$B$201,INDEX($A$1:$G$201,,MATCH(J10,$A$1:$G$1,0)))</f>
        <v>customer9@email.com</v>
      </c>
    </row>
    <row r="11" spans="1:11" ht="15" thickBot="1" x14ac:dyDescent="0.35">
      <c r="A11" s="5" t="s">
        <v>36</v>
      </c>
      <c r="B11" s="5">
        <v>1000000010</v>
      </c>
      <c r="C11" s="5">
        <v>77000</v>
      </c>
      <c r="D11" s="5" t="s">
        <v>37</v>
      </c>
      <c r="E11" s="5" t="s">
        <v>13</v>
      </c>
      <c r="F11" s="5" t="s">
        <v>38</v>
      </c>
      <c r="G11" s="5">
        <f>91 +91987650009</f>
        <v>91987650100</v>
      </c>
      <c r="J11" s="4" t="s">
        <v>6</v>
      </c>
      <c r="K11" s="8" cm="1">
        <f t="array" ref="K11">_xlfn.XLOOKUP($K$5,$B$1:$B$201,INDEX($A$1:$G$201,,MATCH(J11,$A$1:$G$1,0)))</f>
        <v>91987650099</v>
      </c>
    </row>
    <row r="12" spans="1:11" ht="15" thickBot="1" x14ac:dyDescent="0.35">
      <c r="A12" s="5" t="s">
        <v>7</v>
      </c>
      <c r="B12" s="5">
        <v>1000000011</v>
      </c>
      <c r="C12" s="5">
        <v>50000</v>
      </c>
      <c r="D12" s="5" t="s">
        <v>8</v>
      </c>
      <c r="E12" s="5" t="s">
        <v>9</v>
      </c>
      <c r="F12" s="5" t="s">
        <v>39</v>
      </c>
      <c r="G12" s="5">
        <f>91 +91987650010</f>
        <v>91987650101</v>
      </c>
    </row>
    <row r="13" spans="1:11" ht="15" thickBot="1" x14ac:dyDescent="0.35">
      <c r="A13" s="5" t="s">
        <v>11</v>
      </c>
      <c r="B13" s="5">
        <v>1000000012</v>
      </c>
      <c r="C13" s="5">
        <v>75000</v>
      </c>
      <c r="D13" s="5" t="s">
        <v>12</v>
      </c>
      <c r="E13" s="5" t="s">
        <v>13</v>
      </c>
      <c r="F13" s="5" t="s">
        <v>40</v>
      </c>
      <c r="G13" s="5">
        <f>91 +91987650011</f>
        <v>91987650102</v>
      </c>
    </row>
    <row r="14" spans="1:11" ht="15" thickBot="1" x14ac:dyDescent="0.35">
      <c r="A14" s="5" t="s">
        <v>15</v>
      </c>
      <c r="B14" s="5">
        <v>1000000013</v>
      </c>
      <c r="C14" s="5">
        <v>120000</v>
      </c>
      <c r="D14" s="5" t="s">
        <v>16</v>
      </c>
      <c r="E14" s="5" t="s">
        <v>9</v>
      </c>
      <c r="F14" s="5" t="s">
        <v>41</v>
      </c>
      <c r="G14" s="5">
        <f>91 +91987650012</f>
        <v>91987650103</v>
      </c>
    </row>
    <row r="15" spans="1:11" ht="15" thickBot="1" x14ac:dyDescent="0.35">
      <c r="A15" s="5" t="s">
        <v>18</v>
      </c>
      <c r="B15" s="5">
        <v>1000000014</v>
      </c>
      <c r="C15" s="5">
        <v>45000</v>
      </c>
      <c r="D15" s="5" t="s">
        <v>19</v>
      </c>
      <c r="E15" s="5" t="s">
        <v>13</v>
      </c>
      <c r="F15" s="5" t="s">
        <v>42</v>
      </c>
      <c r="G15" s="5">
        <f>91 +91987650013</f>
        <v>91987650104</v>
      </c>
    </row>
    <row r="16" spans="1:11" ht="15" thickBot="1" x14ac:dyDescent="0.35">
      <c r="A16" s="5" t="s">
        <v>21</v>
      </c>
      <c r="B16" s="5">
        <v>1000000015</v>
      </c>
      <c r="C16" s="5">
        <v>98000</v>
      </c>
      <c r="D16" s="5" t="s">
        <v>22</v>
      </c>
      <c r="E16" s="5" t="s">
        <v>9</v>
      </c>
      <c r="F16" s="5" t="s">
        <v>43</v>
      </c>
      <c r="G16" s="5">
        <f>91 +91987650014</f>
        <v>91987650105</v>
      </c>
    </row>
    <row r="17" spans="1:7" ht="15" thickBot="1" x14ac:dyDescent="0.35">
      <c r="A17" s="5" t="s">
        <v>24</v>
      </c>
      <c r="B17" s="5">
        <v>1000000016</v>
      </c>
      <c r="C17" s="5">
        <v>67000</v>
      </c>
      <c r="D17" s="5" t="s">
        <v>25</v>
      </c>
      <c r="E17" s="5" t="s">
        <v>13</v>
      </c>
      <c r="F17" s="5" t="s">
        <v>44</v>
      </c>
      <c r="G17" s="5">
        <f>91 +91987650015</f>
        <v>91987650106</v>
      </c>
    </row>
    <row r="18" spans="1:7" ht="15" thickBot="1" x14ac:dyDescent="0.35">
      <c r="A18" s="5" t="s">
        <v>27</v>
      </c>
      <c r="B18" s="5">
        <v>1000000017</v>
      </c>
      <c r="C18" s="5">
        <v>56000</v>
      </c>
      <c r="D18" s="5" t="s">
        <v>28</v>
      </c>
      <c r="E18" s="5" t="s">
        <v>9</v>
      </c>
      <c r="F18" s="5" t="s">
        <v>45</v>
      </c>
      <c r="G18" s="5">
        <f>91 +91987650016</f>
        <v>91987650107</v>
      </c>
    </row>
    <row r="19" spans="1:7" ht="15" thickBot="1" x14ac:dyDescent="0.35">
      <c r="A19" s="5" t="s">
        <v>30</v>
      </c>
      <c r="B19" s="5">
        <v>1000000018</v>
      </c>
      <c r="C19" s="5">
        <v>89000</v>
      </c>
      <c r="D19" s="5" t="s">
        <v>31</v>
      </c>
      <c r="E19" s="5" t="s">
        <v>13</v>
      </c>
      <c r="F19" s="5" t="s">
        <v>46</v>
      </c>
      <c r="G19" s="5">
        <f>91 +91987650017</f>
        <v>91987650108</v>
      </c>
    </row>
    <row r="20" spans="1:7" ht="15" thickBot="1" x14ac:dyDescent="0.35">
      <c r="A20" s="5" t="s">
        <v>33</v>
      </c>
      <c r="B20" s="5">
        <v>1000000019</v>
      </c>
      <c r="C20" s="5">
        <v>46000</v>
      </c>
      <c r="D20" s="5" t="s">
        <v>34</v>
      </c>
      <c r="E20" s="5" t="s">
        <v>9</v>
      </c>
      <c r="F20" s="5" t="s">
        <v>47</v>
      </c>
      <c r="G20" s="5">
        <f>91 +91987650018</f>
        <v>91987650109</v>
      </c>
    </row>
    <row r="21" spans="1:7" ht="15" thickBot="1" x14ac:dyDescent="0.35">
      <c r="A21" s="5" t="s">
        <v>36</v>
      </c>
      <c r="B21" s="5">
        <v>1000000020</v>
      </c>
      <c r="C21" s="5">
        <v>77000</v>
      </c>
      <c r="D21" s="5" t="s">
        <v>37</v>
      </c>
      <c r="E21" s="5" t="s">
        <v>13</v>
      </c>
      <c r="F21" s="5" t="s">
        <v>48</v>
      </c>
      <c r="G21" s="5">
        <f>91 +91987650019</f>
        <v>91987650110</v>
      </c>
    </row>
    <row r="22" spans="1:7" ht="15" thickBot="1" x14ac:dyDescent="0.35">
      <c r="A22" s="5" t="s">
        <v>7</v>
      </c>
      <c r="B22" s="5">
        <v>1000000021</v>
      </c>
      <c r="C22" s="5">
        <v>50000</v>
      </c>
      <c r="D22" s="5" t="s">
        <v>8</v>
      </c>
      <c r="E22" s="5" t="s">
        <v>9</v>
      </c>
      <c r="F22" s="5" t="s">
        <v>49</v>
      </c>
      <c r="G22" s="5">
        <f>91 +91987650020</f>
        <v>91987650111</v>
      </c>
    </row>
    <row r="23" spans="1:7" ht="15" thickBot="1" x14ac:dyDescent="0.35">
      <c r="A23" s="5" t="s">
        <v>11</v>
      </c>
      <c r="B23" s="5">
        <v>1000000022</v>
      </c>
      <c r="C23" s="5">
        <v>75000</v>
      </c>
      <c r="D23" s="5" t="s">
        <v>12</v>
      </c>
      <c r="E23" s="5" t="s">
        <v>13</v>
      </c>
      <c r="F23" s="5" t="s">
        <v>50</v>
      </c>
      <c r="G23" s="5">
        <f>91 +91987650021</f>
        <v>91987650112</v>
      </c>
    </row>
    <row r="24" spans="1:7" ht="15" thickBot="1" x14ac:dyDescent="0.35">
      <c r="A24" s="5" t="s">
        <v>15</v>
      </c>
      <c r="B24" s="5">
        <v>1000000023</v>
      </c>
      <c r="C24" s="5">
        <v>120000</v>
      </c>
      <c r="D24" s="5" t="s">
        <v>16</v>
      </c>
      <c r="E24" s="5" t="s">
        <v>9</v>
      </c>
      <c r="F24" s="5" t="s">
        <v>51</v>
      </c>
      <c r="G24" s="5">
        <f>91 +91987650022</f>
        <v>91987650113</v>
      </c>
    </row>
    <row r="25" spans="1:7" ht="15" thickBot="1" x14ac:dyDescent="0.35">
      <c r="A25" s="5" t="s">
        <v>18</v>
      </c>
      <c r="B25" s="5">
        <v>1000000024</v>
      </c>
      <c r="C25" s="5">
        <v>45000</v>
      </c>
      <c r="D25" s="5" t="s">
        <v>19</v>
      </c>
      <c r="E25" s="5" t="s">
        <v>13</v>
      </c>
      <c r="F25" s="5" t="s">
        <v>52</v>
      </c>
      <c r="G25" s="5">
        <f>91 +91987650023</f>
        <v>91987650114</v>
      </c>
    </row>
    <row r="26" spans="1:7" ht="15" thickBot="1" x14ac:dyDescent="0.35">
      <c r="A26" s="5" t="s">
        <v>21</v>
      </c>
      <c r="B26" s="5">
        <v>1000000025</v>
      </c>
      <c r="C26" s="5">
        <v>98000</v>
      </c>
      <c r="D26" s="5" t="s">
        <v>22</v>
      </c>
      <c r="E26" s="5" t="s">
        <v>9</v>
      </c>
      <c r="F26" s="5" t="s">
        <v>53</v>
      </c>
      <c r="G26" s="5">
        <f>91 +91987650024</f>
        <v>91987650115</v>
      </c>
    </row>
    <row r="27" spans="1:7" ht="15" thickBot="1" x14ac:dyDescent="0.35">
      <c r="A27" s="5" t="s">
        <v>24</v>
      </c>
      <c r="B27" s="5">
        <v>1000000026</v>
      </c>
      <c r="C27" s="5">
        <v>67000</v>
      </c>
      <c r="D27" s="5" t="s">
        <v>25</v>
      </c>
      <c r="E27" s="5" t="s">
        <v>13</v>
      </c>
      <c r="F27" s="5" t="s">
        <v>54</v>
      </c>
      <c r="G27" s="5">
        <f>91 +91987650025</f>
        <v>91987650116</v>
      </c>
    </row>
    <row r="28" spans="1:7" ht="15" thickBot="1" x14ac:dyDescent="0.35">
      <c r="A28" s="5" t="s">
        <v>27</v>
      </c>
      <c r="B28" s="5">
        <v>1000000027</v>
      </c>
      <c r="C28" s="5">
        <v>56000</v>
      </c>
      <c r="D28" s="5" t="s">
        <v>28</v>
      </c>
      <c r="E28" s="5" t="s">
        <v>9</v>
      </c>
      <c r="F28" s="5" t="s">
        <v>55</v>
      </c>
      <c r="G28" s="5">
        <f>91 +91987650026</f>
        <v>91987650117</v>
      </c>
    </row>
    <row r="29" spans="1:7" ht="15" thickBot="1" x14ac:dyDescent="0.35">
      <c r="A29" s="5" t="s">
        <v>30</v>
      </c>
      <c r="B29" s="5">
        <v>1000000028</v>
      </c>
      <c r="C29" s="5">
        <v>89000</v>
      </c>
      <c r="D29" s="5" t="s">
        <v>31</v>
      </c>
      <c r="E29" s="5" t="s">
        <v>13</v>
      </c>
      <c r="F29" s="5" t="s">
        <v>56</v>
      </c>
      <c r="G29" s="5">
        <f>91 +91987650027</f>
        <v>91987650118</v>
      </c>
    </row>
    <row r="30" spans="1:7" ht="15" thickBot="1" x14ac:dyDescent="0.35">
      <c r="A30" s="5" t="s">
        <v>33</v>
      </c>
      <c r="B30" s="5">
        <v>1000000029</v>
      </c>
      <c r="C30" s="5">
        <v>46000</v>
      </c>
      <c r="D30" s="5" t="s">
        <v>34</v>
      </c>
      <c r="E30" s="5" t="s">
        <v>9</v>
      </c>
      <c r="F30" s="5" t="s">
        <v>57</v>
      </c>
      <c r="G30" s="5">
        <f>91 +91987650028</f>
        <v>91987650119</v>
      </c>
    </row>
    <row r="31" spans="1:7" ht="15" thickBot="1" x14ac:dyDescent="0.35">
      <c r="A31" s="5" t="s">
        <v>36</v>
      </c>
      <c r="B31" s="5">
        <v>1000000030</v>
      </c>
      <c r="C31" s="5">
        <v>77000</v>
      </c>
      <c r="D31" s="5" t="s">
        <v>37</v>
      </c>
      <c r="E31" s="5" t="s">
        <v>13</v>
      </c>
      <c r="F31" s="5" t="s">
        <v>58</v>
      </c>
      <c r="G31" s="5">
        <f>91 +91987650029</f>
        <v>91987650120</v>
      </c>
    </row>
    <row r="32" spans="1:7" ht="15" thickBot="1" x14ac:dyDescent="0.35">
      <c r="A32" s="5" t="s">
        <v>7</v>
      </c>
      <c r="B32" s="5">
        <v>1000000031</v>
      </c>
      <c r="C32" s="5">
        <v>50000</v>
      </c>
      <c r="D32" s="5" t="s">
        <v>8</v>
      </c>
      <c r="E32" s="5" t="s">
        <v>9</v>
      </c>
      <c r="F32" s="5" t="s">
        <v>59</v>
      </c>
      <c r="G32" s="5">
        <f>91 +91987650030</f>
        <v>91987650121</v>
      </c>
    </row>
    <row r="33" spans="1:7" ht="15" thickBot="1" x14ac:dyDescent="0.35">
      <c r="A33" s="5" t="s">
        <v>11</v>
      </c>
      <c r="B33" s="5">
        <v>1000000032</v>
      </c>
      <c r="C33" s="5">
        <v>75000</v>
      </c>
      <c r="D33" s="5" t="s">
        <v>12</v>
      </c>
      <c r="E33" s="5" t="s">
        <v>13</v>
      </c>
      <c r="F33" s="5" t="s">
        <v>60</v>
      </c>
      <c r="G33" s="5">
        <f>91 +91987650031</f>
        <v>91987650122</v>
      </c>
    </row>
    <row r="34" spans="1:7" ht="15" thickBot="1" x14ac:dyDescent="0.35">
      <c r="A34" s="5" t="s">
        <v>15</v>
      </c>
      <c r="B34" s="5">
        <v>1000000033</v>
      </c>
      <c r="C34" s="5">
        <v>120000</v>
      </c>
      <c r="D34" s="5" t="s">
        <v>16</v>
      </c>
      <c r="E34" s="5" t="s">
        <v>9</v>
      </c>
      <c r="F34" s="5" t="s">
        <v>61</v>
      </c>
      <c r="G34" s="5">
        <f>91 +91987650032</f>
        <v>91987650123</v>
      </c>
    </row>
    <row r="35" spans="1:7" ht="15" thickBot="1" x14ac:dyDescent="0.35">
      <c r="A35" s="5" t="s">
        <v>18</v>
      </c>
      <c r="B35" s="5">
        <v>1000000034</v>
      </c>
      <c r="C35" s="5">
        <v>45000</v>
      </c>
      <c r="D35" s="5" t="s">
        <v>19</v>
      </c>
      <c r="E35" s="5" t="s">
        <v>13</v>
      </c>
      <c r="F35" s="5" t="s">
        <v>62</v>
      </c>
      <c r="G35" s="5">
        <f>91 +91987650033</f>
        <v>91987650124</v>
      </c>
    </row>
    <row r="36" spans="1:7" ht="15" thickBot="1" x14ac:dyDescent="0.35">
      <c r="A36" s="5" t="s">
        <v>21</v>
      </c>
      <c r="B36" s="5">
        <v>1000000035</v>
      </c>
      <c r="C36" s="5">
        <v>98000</v>
      </c>
      <c r="D36" s="5" t="s">
        <v>22</v>
      </c>
      <c r="E36" s="5" t="s">
        <v>9</v>
      </c>
      <c r="F36" s="5" t="s">
        <v>63</v>
      </c>
      <c r="G36" s="5">
        <f>91 +91987650034</f>
        <v>91987650125</v>
      </c>
    </row>
    <row r="37" spans="1:7" ht="15" thickBot="1" x14ac:dyDescent="0.35">
      <c r="A37" s="5" t="s">
        <v>24</v>
      </c>
      <c r="B37" s="5">
        <v>1000000036</v>
      </c>
      <c r="C37" s="5">
        <v>67000</v>
      </c>
      <c r="D37" s="5" t="s">
        <v>25</v>
      </c>
      <c r="E37" s="5" t="s">
        <v>13</v>
      </c>
      <c r="F37" s="5" t="s">
        <v>64</v>
      </c>
      <c r="G37" s="5">
        <f>91 +91987650035</f>
        <v>91987650126</v>
      </c>
    </row>
    <row r="38" spans="1:7" ht="15" thickBot="1" x14ac:dyDescent="0.35">
      <c r="A38" s="5" t="s">
        <v>27</v>
      </c>
      <c r="B38" s="5">
        <v>1000000037</v>
      </c>
      <c r="C38" s="5">
        <v>56000</v>
      </c>
      <c r="D38" s="5" t="s">
        <v>28</v>
      </c>
      <c r="E38" s="5" t="s">
        <v>9</v>
      </c>
      <c r="F38" s="5" t="s">
        <v>65</v>
      </c>
      <c r="G38" s="5">
        <f>91 +91987650036</f>
        <v>91987650127</v>
      </c>
    </row>
    <row r="39" spans="1:7" ht="15" thickBot="1" x14ac:dyDescent="0.35">
      <c r="A39" s="5" t="s">
        <v>30</v>
      </c>
      <c r="B39" s="5">
        <v>1000000038</v>
      </c>
      <c r="C39" s="5">
        <v>89000</v>
      </c>
      <c r="D39" s="5" t="s">
        <v>31</v>
      </c>
      <c r="E39" s="5" t="s">
        <v>13</v>
      </c>
      <c r="F39" s="5" t="s">
        <v>66</v>
      </c>
      <c r="G39" s="5">
        <f>91 +91987650037</f>
        <v>91987650128</v>
      </c>
    </row>
    <row r="40" spans="1:7" ht="15" thickBot="1" x14ac:dyDescent="0.35">
      <c r="A40" s="5" t="s">
        <v>33</v>
      </c>
      <c r="B40" s="5">
        <v>1000000039</v>
      </c>
      <c r="C40" s="5">
        <v>46000</v>
      </c>
      <c r="D40" s="5" t="s">
        <v>34</v>
      </c>
      <c r="E40" s="5" t="s">
        <v>9</v>
      </c>
      <c r="F40" s="5" t="s">
        <v>67</v>
      </c>
      <c r="G40" s="5">
        <f>91 +91987650038</f>
        <v>91987650129</v>
      </c>
    </row>
    <row r="41" spans="1:7" ht="15" thickBot="1" x14ac:dyDescent="0.35">
      <c r="A41" s="5" t="s">
        <v>36</v>
      </c>
      <c r="B41" s="5">
        <v>1000000040</v>
      </c>
      <c r="C41" s="5">
        <v>77000</v>
      </c>
      <c r="D41" s="5" t="s">
        <v>37</v>
      </c>
      <c r="E41" s="5" t="s">
        <v>13</v>
      </c>
      <c r="F41" s="5" t="s">
        <v>68</v>
      </c>
      <c r="G41" s="5">
        <f>91 +91987650039</f>
        <v>91987650130</v>
      </c>
    </row>
    <row r="42" spans="1:7" ht="15" thickBot="1" x14ac:dyDescent="0.35">
      <c r="A42" s="5" t="s">
        <v>7</v>
      </c>
      <c r="B42" s="5">
        <v>1000000041</v>
      </c>
      <c r="C42" s="5">
        <v>50000</v>
      </c>
      <c r="D42" s="5" t="s">
        <v>8</v>
      </c>
      <c r="E42" s="5" t="s">
        <v>9</v>
      </c>
      <c r="F42" s="5" t="s">
        <v>69</v>
      </c>
      <c r="G42" s="5">
        <f>91 +91987650040</f>
        <v>91987650131</v>
      </c>
    </row>
    <row r="43" spans="1:7" ht="15" thickBot="1" x14ac:dyDescent="0.35">
      <c r="A43" s="5" t="s">
        <v>11</v>
      </c>
      <c r="B43" s="5">
        <v>1000000042</v>
      </c>
      <c r="C43" s="5">
        <v>75000</v>
      </c>
      <c r="D43" s="5" t="s">
        <v>12</v>
      </c>
      <c r="E43" s="5" t="s">
        <v>13</v>
      </c>
      <c r="F43" s="5" t="s">
        <v>70</v>
      </c>
      <c r="G43" s="5">
        <f>91 +91987650041</f>
        <v>91987650132</v>
      </c>
    </row>
    <row r="44" spans="1:7" ht="15" thickBot="1" x14ac:dyDescent="0.35">
      <c r="A44" s="5" t="s">
        <v>15</v>
      </c>
      <c r="B44" s="5">
        <v>1000000043</v>
      </c>
      <c r="C44" s="5">
        <v>120000</v>
      </c>
      <c r="D44" s="5" t="s">
        <v>16</v>
      </c>
      <c r="E44" s="5" t="s">
        <v>9</v>
      </c>
      <c r="F44" s="5" t="s">
        <v>71</v>
      </c>
      <c r="G44" s="5">
        <f>91 +91987650042</f>
        <v>91987650133</v>
      </c>
    </row>
    <row r="45" spans="1:7" ht="15" thickBot="1" x14ac:dyDescent="0.35">
      <c r="A45" s="5" t="s">
        <v>18</v>
      </c>
      <c r="B45" s="5">
        <v>1000000044</v>
      </c>
      <c r="C45" s="5">
        <v>45000</v>
      </c>
      <c r="D45" s="5" t="s">
        <v>19</v>
      </c>
      <c r="E45" s="5" t="s">
        <v>13</v>
      </c>
      <c r="F45" s="5" t="s">
        <v>72</v>
      </c>
      <c r="G45" s="5">
        <f>91 +91987650043</f>
        <v>91987650134</v>
      </c>
    </row>
    <row r="46" spans="1:7" ht="15" thickBot="1" x14ac:dyDescent="0.35">
      <c r="A46" s="5" t="s">
        <v>21</v>
      </c>
      <c r="B46" s="5">
        <v>1000000045</v>
      </c>
      <c r="C46" s="5">
        <v>98000</v>
      </c>
      <c r="D46" s="5" t="s">
        <v>22</v>
      </c>
      <c r="E46" s="5" t="s">
        <v>9</v>
      </c>
      <c r="F46" s="5" t="s">
        <v>73</v>
      </c>
      <c r="G46" s="5">
        <f>91 +91987650044</f>
        <v>91987650135</v>
      </c>
    </row>
    <row r="47" spans="1:7" ht="15" thickBot="1" x14ac:dyDescent="0.35">
      <c r="A47" s="5" t="s">
        <v>24</v>
      </c>
      <c r="B47" s="5">
        <v>1000000046</v>
      </c>
      <c r="C47" s="5">
        <v>67000</v>
      </c>
      <c r="D47" s="5" t="s">
        <v>25</v>
      </c>
      <c r="E47" s="5" t="s">
        <v>13</v>
      </c>
      <c r="F47" s="5" t="s">
        <v>74</v>
      </c>
      <c r="G47" s="5">
        <f>91 +91987650045</f>
        <v>91987650136</v>
      </c>
    </row>
    <row r="48" spans="1:7" ht="15" thickBot="1" x14ac:dyDescent="0.35">
      <c r="A48" s="5" t="s">
        <v>27</v>
      </c>
      <c r="B48" s="5">
        <v>1000000047</v>
      </c>
      <c r="C48" s="5">
        <v>56000</v>
      </c>
      <c r="D48" s="5" t="s">
        <v>28</v>
      </c>
      <c r="E48" s="5" t="s">
        <v>9</v>
      </c>
      <c r="F48" s="5" t="s">
        <v>75</v>
      </c>
      <c r="G48" s="5">
        <f>91 +91987650046</f>
        <v>91987650137</v>
      </c>
    </row>
    <row r="49" spans="1:7" ht="15" thickBot="1" x14ac:dyDescent="0.35">
      <c r="A49" s="5" t="s">
        <v>30</v>
      </c>
      <c r="B49" s="5">
        <v>1000000048</v>
      </c>
      <c r="C49" s="5">
        <v>89000</v>
      </c>
      <c r="D49" s="5" t="s">
        <v>31</v>
      </c>
      <c r="E49" s="5" t="s">
        <v>13</v>
      </c>
      <c r="F49" s="5" t="s">
        <v>76</v>
      </c>
      <c r="G49" s="5">
        <f>91 +91987650047</f>
        <v>91987650138</v>
      </c>
    </row>
    <row r="50" spans="1:7" ht="15" thickBot="1" x14ac:dyDescent="0.35">
      <c r="A50" s="5" t="s">
        <v>33</v>
      </c>
      <c r="B50" s="5">
        <v>1000000049</v>
      </c>
      <c r="C50" s="5">
        <v>46000</v>
      </c>
      <c r="D50" s="5" t="s">
        <v>34</v>
      </c>
      <c r="E50" s="5" t="s">
        <v>9</v>
      </c>
      <c r="F50" s="5" t="s">
        <v>77</v>
      </c>
      <c r="G50" s="5">
        <f>91 +91987650048</f>
        <v>91987650139</v>
      </c>
    </row>
    <row r="51" spans="1:7" ht="15" thickBot="1" x14ac:dyDescent="0.35">
      <c r="A51" s="5" t="s">
        <v>36</v>
      </c>
      <c r="B51" s="5">
        <v>1000000050</v>
      </c>
      <c r="C51" s="5">
        <v>77000</v>
      </c>
      <c r="D51" s="5" t="s">
        <v>37</v>
      </c>
      <c r="E51" s="5" t="s">
        <v>13</v>
      </c>
      <c r="F51" s="5" t="s">
        <v>78</v>
      </c>
      <c r="G51" s="5">
        <f>91 +91987650049</f>
        <v>91987650140</v>
      </c>
    </row>
    <row r="52" spans="1:7" ht="15" thickBot="1" x14ac:dyDescent="0.35">
      <c r="A52" s="5" t="s">
        <v>7</v>
      </c>
      <c r="B52" s="5">
        <v>1000000051</v>
      </c>
      <c r="C52" s="5">
        <v>50000</v>
      </c>
      <c r="D52" s="5" t="s">
        <v>8</v>
      </c>
      <c r="E52" s="5" t="s">
        <v>9</v>
      </c>
      <c r="F52" s="5" t="s">
        <v>79</v>
      </c>
      <c r="G52" s="5">
        <f>91 +91987650050</f>
        <v>91987650141</v>
      </c>
    </row>
    <row r="53" spans="1:7" ht="15" thickBot="1" x14ac:dyDescent="0.35">
      <c r="A53" s="5" t="s">
        <v>11</v>
      </c>
      <c r="B53" s="5">
        <v>1000000052</v>
      </c>
      <c r="C53" s="5">
        <v>75000</v>
      </c>
      <c r="D53" s="5" t="s">
        <v>12</v>
      </c>
      <c r="E53" s="5" t="s">
        <v>13</v>
      </c>
      <c r="F53" s="5" t="s">
        <v>80</v>
      </c>
      <c r="G53" s="5">
        <f>91 +91987650051</f>
        <v>91987650142</v>
      </c>
    </row>
    <row r="54" spans="1:7" ht="15" thickBot="1" x14ac:dyDescent="0.35">
      <c r="A54" s="5" t="s">
        <v>15</v>
      </c>
      <c r="B54" s="5">
        <v>1000000053</v>
      </c>
      <c r="C54" s="5">
        <v>120000</v>
      </c>
      <c r="D54" s="5" t="s">
        <v>16</v>
      </c>
      <c r="E54" s="5" t="s">
        <v>9</v>
      </c>
      <c r="F54" s="5" t="s">
        <v>81</v>
      </c>
      <c r="G54" s="5">
        <f>91 +91987650052</f>
        <v>91987650143</v>
      </c>
    </row>
    <row r="55" spans="1:7" ht="15" thickBot="1" x14ac:dyDescent="0.35">
      <c r="A55" s="5" t="s">
        <v>18</v>
      </c>
      <c r="B55" s="5">
        <v>1000000054</v>
      </c>
      <c r="C55" s="5">
        <v>45000</v>
      </c>
      <c r="D55" s="5" t="s">
        <v>19</v>
      </c>
      <c r="E55" s="5" t="s">
        <v>13</v>
      </c>
      <c r="F55" s="5" t="s">
        <v>82</v>
      </c>
      <c r="G55" s="5">
        <f>91 +91987650053</f>
        <v>91987650144</v>
      </c>
    </row>
    <row r="56" spans="1:7" ht="15" thickBot="1" x14ac:dyDescent="0.35">
      <c r="A56" s="5" t="s">
        <v>21</v>
      </c>
      <c r="B56" s="5">
        <v>1000000055</v>
      </c>
      <c r="C56" s="5">
        <v>98000</v>
      </c>
      <c r="D56" s="5" t="s">
        <v>22</v>
      </c>
      <c r="E56" s="5" t="s">
        <v>9</v>
      </c>
      <c r="F56" s="5" t="s">
        <v>83</v>
      </c>
      <c r="G56" s="5">
        <f>91 +91987650054</f>
        <v>91987650145</v>
      </c>
    </row>
    <row r="57" spans="1:7" ht="15" thickBot="1" x14ac:dyDescent="0.35">
      <c r="A57" s="5" t="s">
        <v>24</v>
      </c>
      <c r="B57" s="5">
        <v>1000000056</v>
      </c>
      <c r="C57" s="5">
        <v>67000</v>
      </c>
      <c r="D57" s="5" t="s">
        <v>25</v>
      </c>
      <c r="E57" s="5" t="s">
        <v>13</v>
      </c>
      <c r="F57" s="5" t="s">
        <v>84</v>
      </c>
      <c r="G57" s="5">
        <f>91 +91987650055</f>
        <v>91987650146</v>
      </c>
    </row>
    <row r="58" spans="1:7" ht="15" thickBot="1" x14ac:dyDescent="0.35">
      <c r="A58" s="5" t="s">
        <v>27</v>
      </c>
      <c r="B58" s="5">
        <v>1000000057</v>
      </c>
      <c r="C58" s="5">
        <v>56000</v>
      </c>
      <c r="D58" s="5" t="s">
        <v>28</v>
      </c>
      <c r="E58" s="5" t="s">
        <v>9</v>
      </c>
      <c r="F58" s="5" t="s">
        <v>85</v>
      </c>
      <c r="G58" s="5">
        <f>91 +91987650056</f>
        <v>91987650147</v>
      </c>
    </row>
    <row r="59" spans="1:7" ht="15" thickBot="1" x14ac:dyDescent="0.35">
      <c r="A59" s="5" t="s">
        <v>30</v>
      </c>
      <c r="B59" s="5">
        <v>1000000058</v>
      </c>
      <c r="C59" s="5">
        <v>89000</v>
      </c>
      <c r="D59" s="5" t="s">
        <v>31</v>
      </c>
      <c r="E59" s="5" t="s">
        <v>13</v>
      </c>
      <c r="F59" s="5" t="s">
        <v>86</v>
      </c>
      <c r="G59" s="5">
        <f>91 +91987650057</f>
        <v>91987650148</v>
      </c>
    </row>
    <row r="60" spans="1:7" ht="15" thickBot="1" x14ac:dyDescent="0.35">
      <c r="A60" s="5" t="s">
        <v>33</v>
      </c>
      <c r="B60" s="5">
        <v>1000000059</v>
      </c>
      <c r="C60" s="5">
        <v>46000</v>
      </c>
      <c r="D60" s="5" t="s">
        <v>34</v>
      </c>
      <c r="E60" s="5" t="s">
        <v>9</v>
      </c>
      <c r="F60" s="5" t="s">
        <v>87</v>
      </c>
      <c r="G60" s="5">
        <f>91 +91987650058</f>
        <v>91987650149</v>
      </c>
    </row>
    <row r="61" spans="1:7" ht="15" thickBot="1" x14ac:dyDescent="0.35">
      <c r="A61" s="5" t="s">
        <v>36</v>
      </c>
      <c r="B61" s="5">
        <v>1000000060</v>
      </c>
      <c r="C61" s="5">
        <v>77000</v>
      </c>
      <c r="D61" s="5" t="s">
        <v>37</v>
      </c>
      <c r="E61" s="5" t="s">
        <v>13</v>
      </c>
      <c r="F61" s="5" t="s">
        <v>88</v>
      </c>
      <c r="G61" s="5">
        <f>91 +91987650059</f>
        <v>91987650150</v>
      </c>
    </row>
    <row r="62" spans="1:7" ht="15" thickBot="1" x14ac:dyDescent="0.35">
      <c r="A62" s="5" t="s">
        <v>7</v>
      </c>
      <c r="B62" s="5">
        <v>1000000061</v>
      </c>
      <c r="C62" s="5">
        <v>50000</v>
      </c>
      <c r="D62" s="5" t="s">
        <v>8</v>
      </c>
      <c r="E62" s="5" t="s">
        <v>9</v>
      </c>
      <c r="F62" s="5" t="s">
        <v>89</v>
      </c>
      <c r="G62" s="5">
        <f>91 +91987650060</f>
        <v>91987650151</v>
      </c>
    </row>
    <row r="63" spans="1:7" ht="15" thickBot="1" x14ac:dyDescent="0.35">
      <c r="A63" s="5" t="s">
        <v>11</v>
      </c>
      <c r="B63" s="5">
        <v>1000000062</v>
      </c>
      <c r="C63" s="5">
        <v>75000</v>
      </c>
      <c r="D63" s="5" t="s">
        <v>12</v>
      </c>
      <c r="E63" s="5" t="s">
        <v>13</v>
      </c>
      <c r="F63" s="5" t="s">
        <v>90</v>
      </c>
      <c r="G63" s="5">
        <f>91 +91987650061</f>
        <v>91987650152</v>
      </c>
    </row>
    <row r="64" spans="1:7" ht="15" thickBot="1" x14ac:dyDescent="0.35">
      <c r="A64" s="5" t="s">
        <v>15</v>
      </c>
      <c r="B64" s="5">
        <v>1000000063</v>
      </c>
      <c r="C64" s="5">
        <v>120000</v>
      </c>
      <c r="D64" s="5" t="s">
        <v>16</v>
      </c>
      <c r="E64" s="5" t="s">
        <v>9</v>
      </c>
      <c r="F64" s="5" t="s">
        <v>91</v>
      </c>
      <c r="G64" s="5">
        <f>91 +91987650062</f>
        <v>91987650153</v>
      </c>
    </row>
    <row r="65" spans="1:7" ht="15" thickBot="1" x14ac:dyDescent="0.35">
      <c r="A65" s="5" t="s">
        <v>18</v>
      </c>
      <c r="B65" s="5">
        <v>1000000064</v>
      </c>
      <c r="C65" s="5">
        <v>45000</v>
      </c>
      <c r="D65" s="5" t="s">
        <v>19</v>
      </c>
      <c r="E65" s="5" t="s">
        <v>13</v>
      </c>
      <c r="F65" s="5" t="s">
        <v>92</v>
      </c>
      <c r="G65" s="5">
        <f>91 +91987650063</f>
        <v>91987650154</v>
      </c>
    </row>
    <row r="66" spans="1:7" ht="15" thickBot="1" x14ac:dyDescent="0.35">
      <c r="A66" s="5" t="s">
        <v>21</v>
      </c>
      <c r="B66" s="5">
        <v>1000000065</v>
      </c>
      <c r="C66" s="5">
        <v>98000</v>
      </c>
      <c r="D66" s="5" t="s">
        <v>22</v>
      </c>
      <c r="E66" s="5" t="s">
        <v>9</v>
      </c>
      <c r="F66" s="5" t="s">
        <v>93</v>
      </c>
      <c r="G66" s="5">
        <f>91 +91987650064</f>
        <v>91987650155</v>
      </c>
    </row>
    <row r="67" spans="1:7" ht="15" thickBot="1" x14ac:dyDescent="0.35">
      <c r="A67" s="5" t="s">
        <v>24</v>
      </c>
      <c r="B67" s="5">
        <v>1000000066</v>
      </c>
      <c r="C67" s="5">
        <v>67000</v>
      </c>
      <c r="D67" s="5" t="s">
        <v>25</v>
      </c>
      <c r="E67" s="5" t="s">
        <v>13</v>
      </c>
      <c r="F67" s="5" t="s">
        <v>94</v>
      </c>
      <c r="G67" s="5">
        <f>91 +91987650065</f>
        <v>91987650156</v>
      </c>
    </row>
    <row r="68" spans="1:7" ht="15" thickBot="1" x14ac:dyDescent="0.35">
      <c r="A68" s="5" t="s">
        <v>27</v>
      </c>
      <c r="B68" s="5">
        <v>1000000067</v>
      </c>
      <c r="C68" s="5">
        <v>56000</v>
      </c>
      <c r="D68" s="5" t="s">
        <v>28</v>
      </c>
      <c r="E68" s="5" t="s">
        <v>9</v>
      </c>
      <c r="F68" s="5" t="s">
        <v>95</v>
      </c>
      <c r="G68" s="5">
        <f>91 +91987650066</f>
        <v>91987650157</v>
      </c>
    </row>
    <row r="69" spans="1:7" ht="15" thickBot="1" x14ac:dyDescent="0.35">
      <c r="A69" s="5" t="s">
        <v>30</v>
      </c>
      <c r="B69" s="5">
        <v>1000000068</v>
      </c>
      <c r="C69" s="5">
        <v>89000</v>
      </c>
      <c r="D69" s="5" t="s">
        <v>31</v>
      </c>
      <c r="E69" s="5" t="s">
        <v>13</v>
      </c>
      <c r="F69" s="5" t="s">
        <v>96</v>
      </c>
      <c r="G69" s="5">
        <f>91 +91987650067</f>
        <v>91987650158</v>
      </c>
    </row>
    <row r="70" spans="1:7" ht="15" thickBot="1" x14ac:dyDescent="0.35">
      <c r="A70" s="5" t="s">
        <v>33</v>
      </c>
      <c r="B70" s="5">
        <v>1000000069</v>
      </c>
      <c r="C70" s="5">
        <v>46000</v>
      </c>
      <c r="D70" s="5" t="s">
        <v>34</v>
      </c>
      <c r="E70" s="5" t="s">
        <v>9</v>
      </c>
      <c r="F70" s="5" t="s">
        <v>97</v>
      </c>
      <c r="G70" s="5">
        <f>91 +91987650068</f>
        <v>91987650159</v>
      </c>
    </row>
    <row r="71" spans="1:7" ht="15" thickBot="1" x14ac:dyDescent="0.35">
      <c r="A71" s="5" t="s">
        <v>36</v>
      </c>
      <c r="B71" s="5">
        <v>1000000070</v>
      </c>
      <c r="C71" s="5">
        <v>77000</v>
      </c>
      <c r="D71" s="5" t="s">
        <v>37</v>
      </c>
      <c r="E71" s="5" t="s">
        <v>13</v>
      </c>
      <c r="F71" s="5" t="s">
        <v>98</v>
      </c>
      <c r="G71" s="5">
        <f>91 +91987650069</f>
        <v>91987650160</v>
      </c>
    </row>
    <row r="72" spans="1:7" ht="15" thickBot="1" x14ac:dyDescent="0.35">
      <c r="A72" s="5" t="s">
        <v>7</v>
      </c>
      <c r="B72" s="5">
        <v>1000000071</v>
      </c>
      <c r="C72" s="5">
        <v>50000</v>
      </c>
      <c r="D72" s="5" t="s">
        <v>8</v>
      </c>
      <c r="E72" s="5" t="s">
        <v>9</v>
      </c>
      <c r="F72" s="5" t="s">
        <v>99</v>
      </c>
      <c r="G72" s="5">
        <f>91 +91987650070</f>
        <v>91987650161</v>
      </c>
    </row>
    <row r="73" spans="1:7" ht="15" thickBot="1" x14ac:dyDescent="0.35">
      <c r="A73" s="5" t="s">
        <v>11</v>
      </c>
      <c r="B73" s="5">
        <v>1000000072</v>
      </c>
      <c r="C73" s="5">
        <v>75000</v>
      </c>
      <c r="D73" s="5" t="s">
        <v>12</v>
      </c>
      <c r="E73" s="5" t="s">
        <v>13</v>
      </c>
      <c r="F73" s="5" t="s">
        <v>100</v>
      </c>
      <c r="G73" s="5">
        <f>91 +91987650071</f>
        <v>91987650162</v>
      </c>
    </row>
    <row r="74" spans="1:7" ht="15" thickBot="1" x14ac:dyDescent="0.35">
      <c r="A74" s="5" t="s">
        <v>15</v>
      </c>
      <c r="B74" s="5">
        <v>1000000073</v>
      </c>
      <c r="C74" s="5">
        <v>120000</v>
      </c>
      <c r="D74" s="5" t="s">
        <v>16</v>
      </c>
      <c r="E74" s="5" t="s">
        <v>9</v>
      </c>
      <c r="F74" s="5" t="s">
        <v>101</v>
      </c>
      <c r="G74" s="5">
        <f>91 +91987650072</f>
        <v>91987650163</v>
      </c>
    </row>
    <row r="75" spans="1:7" ht="15" thickBot="1" x14ac:dyDescent="0.35">
      <c r="A75" s="5" t="s">
        <v>18</v>
      </c>
      <c r="B75" s="5">
        <v>1000000074</v>
      </c>
      <c r="C75" s="5">
        <v>45000</v>
      </c>
      <c r="D75" s="5" t="s">
        <v>19</v>
      </c>
      <c r="E75" s="5" t="s">
        <v>13</v>
      </c>
      <c r="F75" s="5" t="s">
        <v>102</v>
      </c>
      <c r="G75" s="5">
        <f>91 +91987650073</f>
        <v>91987650164</v>
      </c>
    </row>
    <row r="76" spans="1:7" ht="15" thickBot="1" x14ac:dyDescent="0.35">
      <c r="A76" s="5" t="s">
        <v>21</v>
      </c>
      <c r="B76" s="5">
        <v>1000000075</v>
      </c>
      <c r="C76" s="5">
        <v>98000</v>
      </c>
      <c r="D76" s="5" t="s">
        <v>22</v>
      </c>
      <c r="E76" s="5" t="s">
        <v>9</v>
      </c>
      <c r="F76" s="5" t="s">
        <v>103</v>
      </c>
      <c r="G76" s="5">
        <f>91 +91987650074</f>
        <v>91987650165</v>
      </c>
    </row>
    <row r="77" spans="1:7" ht="15" thickBot="1" x14ac:dyDescent="0.35">
      <c r="A77" s="5" t="s">
        <v>24</v>
      </c>
      <c r="B77" s="5">
        <v>1000000076</v>
      </c>
      <c r="C77" s="5">
        <v>67000</v>
      </c>
      <c r="D77" s="5" t="s">
        <v>25</v>
      </c>
      <c r="E77" s="5" t="s">
        <v>13</v>
      </c>
      <c r="F77" s="5" t="s">
        <v>104</v>
      </c>
      <c r="G77" s="5">
        <f>91 +91987650075</f>
        <v>91987650166</v>
      </c>
    </row>
    <row r="78" spans="1:7" ht="15" thickBot="1" x14ac:dyDescent="0.35">
      <c r="A78" s="5" t="s">
        <v>27</v>
      </c>
      <c r="B78" s="5">
        <v>1000000077</v>
      </c>
      <c r="C78" s="5">
        <v>56000</v>
      </c>
      <c r="D78" s="5" t="s">
        <v>28</v>
      </c>
      <c r="E78" s="5" t="s">
        <v>9</v>
      </c>
      <c r="F78" s="5" t="s">
        <v>105</v>
      </c>
      <c r="G78" s="5">
        <f>91 +91987650076</f>
        <v>91987650167</v>
      </c>
    </row>
    <row r="79" spans="1:7" ht="15" thickBot="1" x14ac:dyDescent="0.35">
      <c r="A79" s="5" t="s">
        <v>30</v>
      </c>
      <c r="B79" s="5">
        <v>1000000078</v>
      </c>
      <c r="C79" s="5">
        <v>89000</v>
      </c>
      <c r="D79" s="5" t="s">
        <v>31</v>
      </c>
      <c r="E79" s="5" t="s">
        <v>13</v>
      </c>
      <c r="F79" s="5" t="s">
        <v>106</v>
      </c>
      <c r="G79" s="5">
        <f>91 +91987650077</f>
        <v>91987650168</v>
      </c>
    </row>
    <row r="80" spans="1:7" ht="15" thickBot="1" x14ac:dyDescent="0.35">
      <c r="A80" s="5" t="s">
        <v>33</v>
      </c>
      <c r="B80" s="5">
        <v>1000000079</v>
      </c>
      <c r="C80" s="5">
        <v>46000</v>
      </c>
      <c r="D80" s="5" t="s">
        <v>34</v>
      </c>
      <c r="E80" s="5" t="s">
        <v>9</v>
      </c>
      <c r="F80" s="5" t="s">
        <v>107</v>
      </c>
      <c r="G80" s="5">
        <f>91 +91987650078</f>
        <v>91987650169</v>
      </c>
    </row>
    <row r="81" spans="1:7" ht="15" thickBot="1" x14ac:dyDescent="0.35">
      <c r="A81" s="5" t="s">
        <v>36</v>
      </c>
      <c r="B81" s="5">
        <v>1000000080</v>
      </c>
      <c r="C81" s="5">
        <v>77000</v>
      </c>
      <c r="D81" s="5" t="s">
        <v>37</v>
      </c>
      <c r="E81" s="5" t="s">
        <v>13</v>
      </c>
      <c r="F81" s="5" t="s">
        <v>108</v>
      </c>
      <c r="G81" s="5">
        <f>91 +91987650079</f>
        <v>91987650170</v>
      </c>
    </row>
    <row r="82" spans="1:7" ht="15" thickBot="1" x14ac:dyDescent="0.35">
      <c r="A82" s="5" t="s">
        <v>7</v>
      </c>
      <c r="B82" s="5">
        <v>1000000081</v>
      </c>
      <c r="C82" s="5">
        <v>50000</v>
      </c>
      <c r="D82" s="5" t="s">
        <v>8</v>
      </c>
      <c r="E82" s="5" t="s">
        <v>9</v>
      </c>
      <c r="F82" s="5" t="s">
        <v>109</v>
      </c>
      <c r="G82" s="5">
        <f>91 +91987650080</f>
        <v>91987650171</v>
      </c>
    </row>
    <row r="83" spans="1:7" ht="15" thickBot="1" x14ac:dyDescent="0.35">
      <c r="A83" s="5" t="s">
        <v>11</v>
      </c>
      <c r="B83" s="5">
        <v>1000000082</v>
      </c>
      <c r="C83" s="5">
        <v>75000</v>
      </c>
      <c r="D83" s="5" t="s">
        <v>12</v>
      </c>
      <c r="E83" s="5" t="s">
        <v>13</v>
      </c>
      <c r="F83" s="5" t="s">
        <v>110</v>
      </c>
      <c r="G83" s="5">
        <f>91 +91987650081</f>
        <v>91987650172</v>
      </c>
    </row>
    <row r="84" spans="1:7" ht="15" thickBot="1" x14ac:dyDescent="0.35">
      <c r="A84" s="5" t="s">
        <v>15</v>
      </c>
      <c r="B84" s="5">
        <v>1000000083</v>
      </c>
      <c r="C84" s="5">
        <v>120000</v>
      </c>
      <c r="D84" s="5" t="s">
        <v>16</v>
      </c>
      <c r="E84" s="5" t="s">
        <v>9</v>
      </c>
      <c r="F84" s="5" t="s">
        <v>111</v>
      </c>
      <c r="G84" s="5">
        <f>91 +91987650082</f>
        <v>91987650173</v>
      </c>
    </row>
    <row r="85" spans="1:7" ht="15" thickBot="1" x14ac:dyDescent="0.35">
      <c r="A85" s="5" t="s">
        <v>18</v>
      </c>
      <c r="B85" s="5">
        <v>1000000084</v>
      </c>
      <c r="C85" s="5">
        <v>45000</v>
      </c>
      <c r="D85" s="5" t="s">
        <v>19</v>
      </c>
      <c r="E85" s="5" t="s">
        <v>13</v>
      </c>
      <c r="F85" s="5" t="s">
        <v>112</v>
      </c>
      <c r="G85" s="5">
        <f>91 +91987650083</f>
        <v>91987650174</v>
      </c>
    </row>
    <row r="86" spans="1:7" ht="15" thickBot="1" x14ac:dyDescent="0.35">
      <c r="A86" s="5" t="s">
        <v>21</v>
      </c>
      <c r="B86" s="5">
        <v>1000000085</v>
      </c>
      <c r="C86" s="5">
        <v>98000</v>
      </c>
      <c r="D86" s="5" t="s">
        <v>22</v>
      </c>
      <c r="E86" s="5" t="s">
        <v>9</v>
      </c>
      <c r="F86" s="5" t="s">
        <v>113</v>
      </c>
      <c r="G86" s="5">
        <f>91 +91987650084</f>
        <v>91987650175</v>
      </c>
    </row>
    <row r="87" spans="1:7" ht="15" thickBot="1" x14ac:dyDescent="0.35">
      <c r="A87" s="5" t="s">
        <v>24</v>
      </c>
      <c r="B87" s="5">
        <v>1000000086</v>
      </c>
      <c r="C87" s="5">
        <v>67000</v>
      </c>
      <c r="D87" s="5" t="s">
        <v>25</v>
      </c>
      <c r="E87" s="5" t="s">
        <v>13</v>
      </c>
      <c r="F87" s="5" t="s">
        <v>114</v>
      </c>
      <c r="G87" s="5">
        <f>91 +91987650085</f>
        <v>91987650176</v>
      </c>
    </row>
    <row r="88" spans="1:7" ht="15" thickBot="1" x14ac:dyDescent="0.35">
      <c r="A88" s="5" t="s">
        <v>27</v>
      </c>
      <c r="B88" s="5">
        <v>1000000087</v>
      </c>
      <c r="C88" s="5">
        <v>56000</v>
      </c>
      <c r="D88" s="5" t="s">
        <v>28</v>
      </c>
      <c r="E88" s="5" t="s">
        <v>9</v>
      </c>
      <c r="F88" s="5" t="s">
        <v>115</v>
      </c>
      <c r="G88" s="5">
        <f>91 +91987650086</f>
        <v>91987650177</v>
      </c>
    </row>
    <row r="89" spans="1:7" ht="15" thickBot="1" x14ac:dyDescent="0.35">
      <c r="A89" s="5" t="s">
        <v>30</v>
      </c>
      <c r="B89" s="5">
        <v>1000000088</v>
      </c>
      <c r="C89" s="5">
        <v>89000</v>
      </c>
      <c r="D89" s="5" t="s">
        <v>31</v>
      </c>
      <c r="E89" s="5" t="s">
        <v>13</v>
      </c>
      <c r="F89" s="5" t="s">
        <v>116</v>
      </c>
      <c r="G89" s="5">
        <f>91 +91987650087</f>
        <v>91987650178</v>
      </c>
    </row>
    <row r="90" spans="1:7" ht="15" thickBot="1" x14ac:dyDescent="0.35">
      <c r="A90" s="5" t="s">
        <v>33</v>
      </c>
      <c r="B90" s="5">
        <v>1000000089</v>
      </c>
      <c r="C90" s="5">
        <v>46000</v>
      </c>
      <c r="D90" s="5" t="s">
        <v>34</v>
      </c>
      <c r="E90" s="5" t="s">
        <v>9</v>
      </c>
      <c r="F90" s="5" t="s">
        <v>117</v>
      </c>
      <c r="G90" s="5">
        <f>91 +91987650088</f>
        <v>91987650179</v>
      </c>
    </row>
    <row r="91" spans="1:7" ht="15" thickBot="1" x14ac:dyDescent="0.35">
      <c r="A91" s="5" t="s">
        <v>36</v>
      </c>
      <c r="B91" s="5">
        <v>1000000090</v>
      </c>
      <c r="C91" s="5">
        <v>77000</v>
      </c>
      <c r="D91" s="5" t="s">
        <v>37</v>
      </c>
      <c r="E91" s="5" t="s">
        <v>13</v>
      </c>
      <c r="F91" s="5" t="s">
        <v>118</v>
      </c>
      <c r="G91" s="5">
        <f>91 +91987650089</f>
        <v>91987650180</v>
      </c>
    </row>
    <row r="92" spans="1:7" ht="15" thickBot="1" x14ac:dyDescent="0.35">
      <c r="A92" s="5" t="s">
        <v>7</v>
      </c>
      <c r="B92" s="5">
        <v>1000000091</v>
      </c>
      <c r="C92" s="5">
        <v>50000</v>
      </c>
      <c r="D92" s="5" t="s">
        <v>8</v>
      </c>
      <c r="E92" s="5" t="s">
        <v>9</v>
      </c>
      <c r="F92" s="5" t="s">
        <v>119</v>
      </c>
      <c r="G92" s="5">
        <f>91 +91987650090</f>
        <v>91987650181</v>
      </c>
    </row>
    <row r="93" spans="1:7" ht="15" thickBot="1" x14ac:dyDescent="0.35">
      <c r="A93" s="5" t="s">
        <v>11</v>
      </c>
      <c r="B93" s="5">
        <v>1000000092</v>
      </c>
      <c r="C93" s="5">
        <v>75000</v>
      </c>
      <c r="D93" s="5" t="s">
        <v>12</v>
      </c>
      <c r="E93" s="5" t="s">
        <v>13</v>
      </c>
      <c r="F93" s="5" t="s">
        <v>120</v>
      </c>
      <c r="G93" s="5">
        <f>91 +91987650091</f>
        <v>91987650182</v>
      </c>
    </row>
    <row r="94" spans="1:7" ht="15" thickBot="1" x14ac:dyDescent="0.35">
      <c r="A94" s="5" t="s">
        <v>15</v>
      </c>
      <c r="B94" s="5">
        <v>1000000093</v>
      </c>
      <c r="C94" s="5">
        <v>120000</v>
      </c>
      <c r="D94" s="5" t="s">
        <v>16</v>
      </c>
      <c r="E94" s="5" t="s">
        <v>9</v>
      </c>
      <c r="F94" s="5" t="s">
        <v>121</v>
      </c>
      <c r="G94" s="5">
        <f>91 +91987650092</f>
        <v>91987650183</v>
      </c>
    </row>
    <row r="95" spans="1:7" ht="15" thickBot="1" x14ac:dyDescent="0.35">
      <c r="A95" s="5" t="s">
        <v>18</v>
      </c>
      <c r="B95" s="5">
        <v>1000000094</v>
      </c>
      <c r="C95" s="5">
        <v>45000</v>
      </c>
      <c r="D95" s="5" t="s">
        <v>19</v>
      </c>
      <c r="E95" s="5" t="s">
        <v>13</v>
      </c>
      <c r="F95" s="5" t="s">
        <v>122</v>
      </c>
      <c r="G95" s="5">
        <f>91 +91987650093</f>
        <v>91987650184</v>
      </c>
    </row>
    <row r="96" spans="1:7" ht="15" thickBot="1" x14ac:dyDescent="0.35">
      <c r="A96" s="5" t="s">
        <v>21</v>
      </c>
      <c r="B96" s="5">
        <v>1000000095</v>
      </c>
      <c r="C96" s="5">
        <v>98000</v>
      </c>
      <c r="D96" s="5" t="s">
        <v>22</v>
      </c>
      <c r="E96" s="5" t="s">
        <v>9</v>
      </c>
      <c r="F96" s="5" t="s">
        <v>123</v>
      </c>
      <c r="G96" s="5">
        <f>91 +91987650094</f>
        <v>91987650185</v>
      </c>
    </row>
    <row r="97" spans="1:7" ht="15" thickBot="1" x14ac:dyDescent="0.35">
      <c r="A97" s="5" t="s">
        <v>24</v>
      </c>
      <c r="B97" s="5">
        <v>1000000096</v>
      </c>
      <c r="C97" s="5">
        <v>67000</v>
      </c>
      <c r="D97" s="5" t="s">
        <v>25</v>
      </c>
      <c r="E97" s="5" t="s">
        <v>13</v>
      </c>
      <c r="F97" s="5" t="s">
        <v>124</v>
      </c>
      <c r="G97" s="5">
        <f>91 +91987650095</f>
        <v>91987650186</v>
      </c>
    </row>
    <row r="98" spans="1:7" ht="15" thickBot="1" x14ac:dyDescent="0.35">
      <c r="A98" s="5" t="s">
        <v>27</v>
      </c>
      <c r="B98" s="5">
        <v>1000000097</v>
      </c>
      <c r="C98" s="5">
        <v>56000</v>
      </c>
      <c r="D98" s="5" t="s">
        <v>28</v>
      </c>
      <c r="E98" s="5" t="s">
        <v>9</v>
      </c>
      <c r="F98" s="5" t="s">
        <v>125</v>
      </c>
      <c r="G98" s="5">
        <f>91 +91987650096</f>
        <v>91987650187</v>
      </c>
    </row>
    <row r="99" spans="1:7" ht="15" thickBot="1" x14ac:dyDescent="0.35">
      <c r="A99" s="5" t="s">
        <v>30</v>
      </c>
      <c r="B99" s="5">
        <v>1000000098</v>
      </c>
      <c r="C99" s="5">
        <v>89000</v>
      </c>
      <c r="D99" s="5" t="s">
        <v>31</v>
      </c>
      <c r="E99" s="5" t="s">
        <v>13</v>
      </c>
      <c r="F99" s="5" t="s">
        <v>126</v>
      </c>
      <c r="G99" s="5">
        <f>91 +91987650097</f>
        <v>91987650188</v>
      </c>
    </row>
    <row r="100" spans="1:7" ht="15" thickBot="1" x14ac:dyDescent="0.35">
      <c r="A100" s="5" t="s">
        <v>33</v>
      </c>
      <c r="B100" s="5">
        <v>1000000099</v>
      </c>
      <c r="C100" s="5">
        <v>46000</v>
      </c>
      <c r="D100" s="5" t="s">
        <v>34</v>
      </c>
      <c r="E100" s="5" t="s">
        <v>9</v>
      </c>
      <c r="F100" s="5" t="s">
        <v>127</v>
      </c>
      <c r="G100" s="5">
        <f>91 +91987650098</f>
        <v>91987650189</v>
      </c>
    </row>
    <row r="101" spans="1:7" ht="15" thickBot="1" x14ac:dyDescent="0.35">
      <c r="A101" s="5" t="s">
        <v>36</v>
      </c>
      <c r="B101" s="5">
        <v>1000000100</v>
      </c>
      <c r="C101" s="5">
        <v>77000</v>
      </c>
      <c r="D101" s="5" t="s">
        <v>37</v>
      </c>
      <c r="E101" s="5" t="s">
        <v>13</v>
      </c>
      <c r="F101" s="5" t="s">
        <v>128</v>
      </c>
      <c r="G101" s="5">
        <f>91 +91987650099</f>
        <v>91987650190</v>
      </c>
    </row>
    <row r="102" spans="1:7" ht="15" thickBot="1" x14ac:dyDescent="0.35">
      <c r="A102" s="5" t="s">
        <v>7</v>
      </c>
      <c r="B102" s="5">
        <v>1000000101</v>
      </c>
      <c r="C102" s="5">
        <v>50000</v>
      </c>
      <c r="D102" s="5" t="s">
        <v>8</v>
      </c>
      <c r="E102" s="5" t="s">
        <v>9</v>
      </c>
      <c r="F102" s="5" t="s">
        <v>129</v>
      </c>
      <c r="G102" s="5">
        <f>91 +91987650100</f>
        <v>91987650191</v>
      </c>
    </row>
    <row r="103" spans="1:7" ht="15" thickBot="1" x14ac:dyDescent="0.35">
      <c r="A103" s="5" t="s">
        <v>11</v>
      </c>
      <c r="B103" s="5">
        <v>1000000102</v>
      </c>
      <c r="C103" s="5">
        <v>75000</v>
      </c>
      <c r="D103" s="5" t="s">
        <v>12</v>
      </c>
      <c r="E103" s="5" t="s">
        <v>13</v>
      </c>
      <c r="F103" s="5" t="s">
        <v>130</v>
      </c>
      <c r="G103" s="5">
        <f>91 +91987650101</f>
        <v>91987650192</v>
      </c>
    </row>
    <row r="104" spans="1:7" ht="15" thickBot="1" x14ac:dyDescent="0.35">
      <c r="A104" s="5" t="s">
        <v>15</v>
      </c>
      <c r="B104" s="5">
        <v>1000000103</v>
      </c>
      <c r="C104" s="5">
        <v>120000</v>
      </c>
      <c r="D104" s="5" t="s">
        <v>16</v>
      </c>
      <c r="E104" s="5" t="s">
        <v>9</v>
      </c>
      <c r="F104" s="5" t="s">
        <v>131</v>
      </c>
      <c r="G104" s="5">
        <f>91 +91987650102</f>
        <v>91987650193</v>
      </c>
    </row>
    <row r="105" spans="1:7" ht="15" thickBot="1" x14ac:dyDescent="0.35">
      <c r="A105" s="5" t="s">
        <v>18</v>
      </c>
      <c r="B105" s="5">
        <v>1000000104</v>
      </c>
      <c r="C105" s="5">
        <v>45000</v>
      </c>
      <c r="D105" s="5" t="s">
        <v>19</v>
      </c>
      <c r="E105" s="5" t="s">
        <v>13</v>
      </c>
      <c r="F105" s="5" t="s">
        <v>132</v>
      </c>
      <c r="G105" s="5">
        <f>91 +91987650103</f>
        <v>91987650194</v>
      </c>
    </row>
    <row r="106" spans="1:7" ht="15" thickBot="1" x14ac:dyDescent="0.35">
      <c r="A106" s="5" t="s">
        <v>21</v>
      </c>
      <c r="B106" s="5">
        <v>1000000105</v>
      </c>
      <c r="C106" s="5">
        <v>98000</v>
      </c>
      <c r="D106" s="5" t="s">
        <v>22</v>
      </c>
      <c r="E106" s="5" t="s">
        <v>9</v>
      </c>
      <c r="F106" s="5" t="s">
        <v>133</v>
      </c>
      <c r="G106" s="5">
        <f>91 +91987650104</f>
        <v>91987650195</v>
      </c>
    </row>
    <row r="107" spans="1:7" ht="15" thickBot="1" x14ac:dyDescent="0.35">
      <c r="A107" s="5" t="s">
        <v>24</v>
      </c>
      <c r="B107" s="5">
        <v>1000000106</v>
      </c>
      <c r="C107" s="5">
        <v>67000</v>
      </c>
      <c r="D107" s="5" t="s">
        <v>25</v>
      </c>
      <c r="E107" s="5" t="s">
        <v>13</v>
      </c>
      <c r="F107" s="5" t="s">
        <v>134</v>
      </c>
      <c r="G107" s="5">
        <f>91 +91987650105</f>
        <v>91987650196</v>
      </c>
    </row>
    <row r="108" spans="1:7" ht="15" thickBot="1" x14ac:dyDescent="0.35">
      <c r="A108" s="5" t="s">
        <v>27</v>
      </c>
      <c r="B108" s="5">
        <v>1000000107</v>
      </c>
      <c r="C108" s="5">
        <v>56000</v>
      </c>
      <c r="D108" s="5" t="s">
        <v>28</v>
      </c>
      <c r="E108" s="5" t="s">
        <v>9</v>
      </c>
      <c r="F108" s="5" t="s">
        <v>135</v>
      </c>
      <c r="G108" s="5">
        <f>91 +91987650106</f>
        <v>91987650197</v>
      </c>
    </row>
    <row r="109" spans="1:7" ht="15" thickBot="1" x14ac:dyDescent="0.35">
      <c r="A109" s="5" t="s">
        <v>30</v>
      </c>
      <c r="B109" s="5">
        <v>1000000108</v>
      </c>
      <c r="C109" s="5">
        <v>89000</v>
      </c>
      <c r="D109" s="5" t="s">
        <v>31</v>
      </c>
      <c r="E109" s="5" t="s">
        <v>13</v>
      </c>
      <c r="F109" s="5" t="s">
        <v>136</v>
      </c>
      <c r="G109" s="5">
        <f>91 +91987650107</f>
        <v>91987650198</v>
      </c>
    </row>
    <row r="110" spans="1:7" ht="15" thickBot="1" x14ac:dyDescent="0.35">
      <c r="A110" s="5" t="s">
        <v>33</v>
      </c>
      <c r="B110" s="5">
        <v>1000000109</v>
      </c>
      <c r="C110" s="5">
        <v>46000</v>
      </c>
      <c r="D110" s="5" t="s">
        <v>34</v>
      </c>
      <c r="E110" s="5" t="s">
        <v>9</v>
      </c>
      <c r="F110" s="5" t="s">
        <v>137</v>
      </c>
      <c r="G110" s="5">
        <f>91 +91987650108</f>
        <v>91987650199</v>
      </c>
    </row>
    <row r="111" spans="1:7" ht="15" thickBot="1" x14ac:dyDescent="0.35">
      <c r="A111" s="5" t="s">
        <v>36</v>
      </c>
      <c r="B111" s="5">
        <v>1000000110</v>
      </c>
      <c r="C111" s="5">
        <v>77000</v>
      </c>
      <c r="D111" s="5" t="s">
        <v>37</v>
      </c>
      <c r="E111" s="5" t="s">
        <v>13</v>
      </c>
      <c r="F111" s="5" t="s">
        <v>138</v>
      </c>
      <c r="G111" s="5">
        <f>91 +91987650109</f>
        <v>91987650200</v>
      </c>
    </row>
    <row r="112" spans="1:7" ht="15" thickBot="1" x14ac:dyDescent="0.35">
      <c r="A112" s="5" t="s">
        <v>7</v>
      </c>
      <c r="B112" s="5">
        <v>1000000111</v>
      </c>
      <c r="C112" s="5">
        <v>50000</v>
      </c>
      <c r="D112" s="5" t="s">
        <v>8</v>
      </c>
      <c r="E112" s="5" t="s">
        <v>9</v>
      </c>
      <c r="F112" s="5" t="s">
        <v>139</v>
      </c>
      <c r="G112" s="5">
        <f>91 +91987650110</f>
        <v>91987650201</v>
      </c>
    </row>
    <row r="113" spans="1:7" ht="15" thickBot="1" x14ac:dyDescent="0.35">
      <c r="A113" s="5" t="s">
        <v>11</v>
      </c>
      <c r="B113" s="5">
        <v>1000000112</v>
      </c>
      <c r="C113" s="5">
        <v>75000</v>
      </c>
      <c r="D113" s="5" t="s">
        <v>12</v>
      </c>
      <c r="E113" s="5" t="s">
        <v>13</v>
      </c>
      <c r="F113" s="5" t="s">
        <v>140</v>
      </c>
      <c r="G113" s="5">
        <f>91 +91987650111</f>
        <v>91987650202</v>
      </c>
    </row>
    <row r="114" spans="1:7" ht="15" thickBot="1" x14ac:dyDescent="0.35">
      <c r="A114" s="5" t="s">
        <v>15</v>
      </c>
      <c r="B114" s="5">
        <v>1000000113</v>
      </c>
      <c r="C114" s="5">
        <v>120000</v>
      </c>
      <c r="D114" s="5" t="s">
        <v>16</v>
      </c>
      <c r="E114" s="5" t="s">
        <v>9</v>
      </c>
      <c r="F114" s="5" t="s">
        <v>141</v>
      </c>
      <c r="G114" s="5">
        <f>91 +91987650112</f>
        <v>91987650203</v>
      </c>
    </row>
    <row r="115" spans="1:7" ht="15" thickBot="1" x14ac:dyDescent="0.35">
      <c r="A115" s="5" t="s">
        <v>18</v>
      </c>
      <c r="B115" s="5">
        <v>1000000114</v>
      </c>
      <c r="C115" s="5">
        <v>45000</v>
      </c>
      <c r="D115" s="5" t="s">
        <v>19</v>
      </c>
      <c r="E115" s="5" t="s">
        <v>13</v>
      </c>
      <c r="F115" s="5" t="s">
        <v>142</v>
      </c>
      <c r="G115" s="5">
        <f>91 +91987650113</f>
        <v>91987650204</v>
      </c>
    </row>
    <row r="116" spans="1:7" ht="15" thickBot="1" x14ac:dyDescent="0.35">
      <c r="A116" s="5" t="s">
        <v>21</v>
      </c>
      <c r="B116" s="5">
        <v>1000000115</v>
      </c>
      <c r="C116" s="5">
        <v>98000</v>
      </c>
      <c r="D116" s="5" t="s">
        <v>22</v>
      </c>
      <c r="E116" s="5" t="s">
        <v>9</v>
      </c>
      <c r="F116" s="5" t="s">
        <v>143</v>
      </c>
      <c r="G116" s="5">
        <f>91 +91987650114</f>
        <v>91987650205</v>
      </c>
    </row>
    <row r="117" spans="1:7" ht="15" thickBot="1" x14ac:dyDescent="0.35">
      <c r="A117" s="5" t="s">
        <v>24</v>
      </c>
      <c r="B117" s="5">
        <v>1000000116</v>
      </c>
      <c r="C117" s="5">
        <v>67000</v>
      </c>
      <c r="D117" s="5" t="s">
        <v>25</v>
      </c>
      <c r="E117" s="5" t="s">
        <v>13</v>
      </c>
      <c r="F117" s="5" t="s">
        <v>144</v>
      </c>
      <c r="G117" s="5">
        <f>91 +91987650115</f>
        <v>91987650206</v>
      </c>
    </row>
    <row r="118" spans="1:7" ht="15" thickBot="1" x14ac:dyDescent="0.35">
      <c r="A118" s="5" t="s">
        <v>27</v>
      </c>
      <c r="B118" s="5">
        <v>1000000117</v>
      </c>
      <c r="C118" s="5">
        <v>56000</v>
      </c>
      <c r="D118" s="5" t="s">
        <v>28</v>
      </c>
      <c r="E118" s="5" t="s">
        <v>9</v>
      </c>
      <c r="F118" s="5" t="s">
        <v>145</v>
      </c>
      <c r="G118" s="5">
        <f>91 +91987650116</f>
        <v>91987650207</v>
      </c>
    </row>
    <row r="119" spans="1:7" ht="15" thickBot="1" x14ac:dyDescent="0.35">
      <c r="A119" s="5" t="s">
        <v>30</v>
      </c>
      <c r="B119" s="5">
        <v>1000000118</v>
      </c>
      <c r="C119" s="5">
        <v>89000</v>
      </c>
      <c r="D119" s="5" t="s">
        <v>31</v>
      </c>
      <c r="E119" s="5" t="s">
        <v>13</v>
      </c>
      <c r="F119" s="5" t="s">
        <v>146</v>
      </c>
      <c r="G119" s="5">
        <f>91 +91987650117</f>
        <v>91987650208</v>
      </c>
    </row>
    <row r="120" spans="1:7" ht="15" thickBot="1" x14ac:dyDescent="0.35">
      <c r="A120" s="5" t="s">
        <v>33</v>
      </c>
      <c r="B120" s="5">
        <v>1000000119</v>
      </c>
      <c r="C120" s="5">
        <v>46000</v>
      </c>
      <c r="D120" s="5" t="s">
        <v>34</v>
      </c>
      <c r="E120" s="5" t="s">
        <v>9</v>
      </c>
      <c r="F120" s="5" t="s">
        <v>147</v>
      </c>
      <c r="G120" s="5">
        <f>91 +91987650118</f>
        <v>91987650209</v>
      </c>
    </row>
    <row r="121" spans="1:7" ht="15" thickBot="1" x14ac:dyDescent="0.35">
      <c r="A121" s="5" t="s">
        <v>36</v>
      </c>
      <c r="B121" s="5">
        <v>1000000120</v>
      </c>
      <c r="C121" s="5">
        <v>77000</v>
      </c>
      <c r="D121" s="5" t="s">
        <v>37</v>
      </c>
      <c r="E121" s="5" t="s">
        <v>13</v>
      </c>
      <c r="F121" s="5" t="s">
        <v>148</v>
      </c>
      <c r="G121" s="5">
        <f>91 +91987650119</f>
        <v>91987650210</v>
      </c>
    </row>
    <row r="122" spans="1:7" ht="15" thickBot="1" x14ac:dyDescent="0.35">
      <c r="A122" s="5" t="s">
        <v>7</v>
      </c>
      <c r="B122" s="5">
        <v>1000000121</v>
      </c>
      <c r="C122" s="5">
        <v>50000</v>
      </c>
      <c r="D122" s="5" t="s">
        <v>8</v>
      </c>
      <c r="E122" s="5" t="s">
        <v>9</v>
      </c>
      <c r="F122" s="5" t="s">
        <v>149</v>
      </c>
      <c r="G122" s="5">
        <f>91 +91987650120</f>
        <v>91987650211</v>
      </c>
    </row>
    <row r="123" spans="1:7" ht="15" thickBot="1" x14ac:dyDescent="0.35">
      <c r="A123" s="5" t="s">
        <v>11</v>
      </c>
      <c r="B123" s="5">
        <v>1000000122</v>
      </c>
      <c r="C123" s="5">
        <v>75000</v>
      </c>
      <c r="D123" s="5" t="s">
        <v>12</v>
      </c>
      <c r="E123" s="5" t="s">
        <v>13</v>
      </c>
      <c r="F123" s="5" t="s">
        <v>150</v>
      </c>
      <c r="G123" s="5">
        <f>91 +91987650121</f>
        <v>91987650212</v>
      </c>
    </row>
    <row r="124" spans="1:7" ht="15" thickBot="1" x14ac:dyDescent="0.35">
      <c r="A124" s="5" t="s">
        <v>15</v>
      </c>
      <c r="B124" s="5">
        <v>1000000123</v>
      </c>
      <c r="C124" s="5">
        <v>120000</v>
      </c>
      <c r="D124" s="5" t="s">
        <v>16</v>
      </c>
      <c r="E124" s="5" t="s">
        <v>9</v>
      </c>
      <c r="F124" s="5" t="s">
        <v>151</v>
      </c>
      <c r="G124" s="5">
        <f>91 +91987650122</f>
        <v>91987650213</v>
      </c>
    </row>
    <row r="125" spans="1:7" ht="15" thickBot="1" x14ac:dyDescent="0.35">
      <c r="A125" s="5" t="s">
        <v>18</v>
      </c>
      <c r="B125" s="5">
        <v>1000000124</v>
      </c>
      <c r="C125" s="5">
        <v>45000</v>
      </c>
      <c r="D125" s="5" t="s">
        <v>19</v>
      </c>
      <c r="E125" s="5" t="s">
        <v>13</v>
      </c>
      <c r="F125" s="5" t="s">
        <v>152</v>
      </c>
      <c r="G125" s="5">
        <f>91 +91987650123</f>
        <v>91987650214</v>
      </c>
    </row>
    <row r="126" spans="1:7" ht="15" thickBot="1" x14ac:dyDescent="0.35">
      <c r="A126" s="5" t="s">
        <v>21</v>
      </c>
      <c r="B126" s="5">
        <v>1000000125</v>
      </c>
      <c r="C126" s="5">
        <v>98000</v>
      </c>
      <c r="D126" s="5" t="s">
        <v>22</v>
      </c>
      <c r="E126" s="5" t="s">
        <v>9</v>
      </c>
      <c r="F126" s="5" t="s">
        <v>153</v>
      </c>
      <c r="G126" s="5">
        <f>91 +91987650124</f>
        <v>91987650215</v>
      </c>
    </row>
    <row r="127" spans="1:7" ht="15" thickBot="1" x14ac:dyDescent="0.35">
      <c r="A127" s="5" t="s">
        <v>24</v>
      </c>
      <c r="B127" s="5">
        <v>1000000126</v>
      </c>
      <c r="C127" s="5">
        <v>67000</v>
      </c>
      <c r="D127" s="5" t="s">
        <v>25</v>
      </c>
      <c r="E127" s="5" t="s">
        <v>13</v>
      </c>
      <c r="F127" s="5" t="s">
        <v>154</v>
      </c>
      <c r="G127" s="5">
        <f>91 +91987650125</f>
        <v>91987650216</v>
      </c>
    </row>
    <row r="128" spans="1:7" ht="15" thickBot="1" x14ac:dyDescent="0.35">
      <c r="A128" s="5" t="s">
        <v>27</v>
      </c>
      <c r="B128" s="5">
        <v>1000000127</v>
      </c>
      <c r="C128" s="5">
        <v>56000</v>
      </c>
      <c r="D128" s="5" t="s">
        <v>28</v>
      </c>
      <c r="E128" s="5" t="s">
        <v>9</v>
      </c>
      <c r="F128" s="5" t="s">
        <v>155</v>
      </c>
      <c r="G128" s="5">
        <f>91 +91987650126</f>
        <v>91987650217</v>
      </c>
    </row>
    <row r="129" spans="1:7" ht="15" thickBot="1" x14ac:dyDescent="0.35">
      <c r="A129" s="5" t="s">
        <v>30</v>
      </c>
      <c r="B129" s="5">
        <v>1000000128</v>
      </c>
      <c r="C129" s="5">
        <v>89000</v>
      </c>
      <c r="D129" s="5" t="s">
        <v>31</v>
      </c>
      <c r="E129" s="5" t="s">
        <v>13</v>
      </c>
      <c r="F129" s="5" t="s">
        <v>156</v>
      </c>
      <c r="G129" s="5">
        <f>91 +91987650127</f>
        <v>91987650218</v>
      </c>
    </row>
    <row r="130" spans="1:7" ht="15" thickBot="1" x14ac:dyDescent="0.35">
      <c r="A130" s="5" t="s">
        <v>33</v>
      </c>
      <c r="B130" s="5">
        <v>1000000129</v>
      </c>
      <c r="C130" s="5">
        <v>46000</v>
      </c>
      <c r="D130" s="5" t="s">
        <v>34</v>
      </c>
      <c r="E130" s="5" t="s">
        <v>9</v>
      </c>
      <c r="F130" s="5" t="s">
        <v>157</v>
      </c>
      <c r="G130" s="5">
        <f>91 +91987650128</f>
        <v>91987650219</v>
      </c>
    </row>
    <row r="131" spans="1:7" ht="15" thickBot="1" x14ac:dyDescent="0.35">
      <c r="A131" s="5" t="s">
        <v>36</v>
      </c>
      <c r="B131" s="5">
        <v>1000000130</v>
      </c>
      <c r="C131" s="5">
        <v>77000</v>
      </c>
      <c r="D131" s="5" t="s">
        <v>37</v>
      </c>
      <c r="E131" s="5" t="s">
        <v>13</v>
      </c>
      <c r="F131" s="5" t="s">
        <v>158</v>
      </c>
      <c r="G131" s="5">
        <f>91 +91987650129</f>
        <v>91987650220</v>
      </c>
    </row>
    <row r="132" spans="1:7" ht="15" thickBot="1" x14ac:dyDescent="0.35">
      <c r="A132" s="5" t="s">
        <v>7</v>
      </c>
      <c r="B132" s="5">
        <v>1000000131</v>
      </c>
      <c r="C132" s="5">
        <v>50000</v>
      </c>
      <c r="D132" s="5" t="s">
        <v>8</v>
      </c>
      <c r="E132" s="5" t="s">
        <v>9</v>
      </c>
      <c r="F132" s="5" t="s">
        <v>159</v>
      </c>
      <c r="G132" s="5">
        <f>91 +91987650130</f>
        <v>91987650221</v>
      </c>
    </row>
    <row r="133" spans="1:7" ht="15" thickBot="1" x14ac:dyDescent="0.35">
      <c r="A133" s="5" t="s">
        <v>11</v>
      </c>
      <c r="B133" s="5">
        <v>1000000132</v>
      </c>
      <c r="C133" s="5">
        <v>75000</v>
      </c>
      <c r="D133" s="5" t="s">
        <v>12</v>
      </c>
      <c r="E133" s="5" t="s">
        <v>13</v>
      </c>
      <c r="F133" s="5" t="s">
        <v>160</v>
      </c>
      <c r="G133" s="5">
        <f>91 +91987650131</f>
        <v>91987650222</v>
      </c>
    </row>
    <row r="134" spans="1:7" ht="15" thickBot="1" x14ac:dyDescent="0.35">
      <c r="A134" s="5" t="s">
        <v>15</v>
      </c>
      <c r="B134" s="5">
        <v>1000000133</v>
      </c>
      <c r="C134" s="5">
        <v>120000</v>
      </c>
      <c r="D134" s="5" t="s">
        <v>16</v>
      </c>
      <c r="E134" s="5" t="s">
        <v>9</v>
      </c>
      <c r="F134" s="5" t="s">
        <v>161</v>
      </c>
      <c r="G134" s="5">
        <f>91 +91987650132</f>
        <v>91987650223</v>
      </c>
    </row>
    <row r="135" spans="1:7" ht="15" thickBot="1" x14ac:dyDescent="0.35">
      <c r="A135" s="5" t="s">
        <v>18</v>
      </c>
      <c r="B135" s="5">
        <v>1000000134</v>
      </c>
      <c r="C135" s="5">
        <v>45000</v>
      </c>
      <c r="D135" s="5" t="s">
        <v>19</v>
      </c>
      <c r="E135" s="5" t="s">
        <v>13</v>
      </c>
      <c r="F135" s="5" t="s">
        <v>162</v>
      </c>
      <c r="G135" s="5">
        <f>91 +91987650133</f>
        <v>91987650224</v>
      </c>
    </row>
    <row r="136" spans="1:7" ht="15" thickBot="1" x14ac:dyDescent="0.35">
      <c r="A136" s="5" t="s">
        <v>21</v>
      </c>
      <c r="B136" s="5">
        <v>1000000135</v>
      </c>
      <c r="C136" s="5">
        <v>98000</v>
      </c>
      <c r="D136" s="5" t="s">
        <v>22</v>
      </c>
      <c r="E136" s="5" t="s">
        <v>9</v>
      </c>
      <c r="F136" s="5" t="s">
        <v>163</v>
      </c>
      <c r="G136" s="5">
        <f>91 +91987650134</f>
        <v>91987650225</v>
      </c>
    </row>
    <row r="137" spans="1:7" ht="15" thickBot="1" x14ac:dyDescent="0.35">
      <c r="A137" s="5" t="s">
        <v>24</v>
      </c>
      <c r="B137" s="5">
        <v>1000000136</v>
      </c>
      <c r="C137" s="5">
        <v>67000</v>
      </c>
      <c r="D137" s="5" t="s">
        <v>25</v>
      </c>
      <c r="E137" s="5" t="s">
        <v>13</v>
      </c>
      <c r="F137" s="5" t="s">
        <v>164</v>
      </c>
      <c r="G137" s="5">
        <f>91 +91987650135</f>
        <v>91987650226</v>
      </c>
    </row>
    <row r="138" spans="1:7" ht="15" thickBot="1" x14ac:dyDescent="0.35">
      <c r="A138" s="5" t="s">
        <v>27</v>
      </c>
      <c r="B138" s="5">
        <v>1000000137</v>
      </c>
      <c r="C138" s="5">
        <v>56000</v>
      </c>
      <c r="D138" s="5" t="s">
        <v>28</v>
      </c>
      <c r="E138" s="5" t="s">
        <v>9</v>
      </c>
      <c r="F138" s="5" t="s">
        <v>165</v>
      </c>
      <c r="G138" s="5">
        <f>91 +91987650136</f>
        <v>91987650227</v>
      </c>
    </row>
    <row r="139" spans="1:7" ht="15" thickBot="1" x14ac:dyDescent="0.35">
      <c r="A139" s="5" t="s">
        <v>30</v>
      </c>
      <c r="B139" s="5">
        <v>1000000138</v>
      </c>
      <c r="C139" s="5">
        <v>89000</v>
      </c>
      <c r="D139" s="5" t="s">
        <v>31</v>
      </c>
      <c r="E139" s="5" t="s">
        <v>13</v>
      </c>
      <c r="F139" s="5" t="s">
        <v>166</v>
      </c>
      <c r="G139" s="5">
        <f>91 +91987650137</f>
        <v>91987650228</v>
      </c>
    </row>
    <row r="140" spans="1:7" ht="15" thickBot="1" x14ac:dyDescent="0.35">
      <c r="A140" s="5" t="s">
        <v>33</v>
      </c>
      <c r="B140" s="5">
        <v>1000000139</v>
      </c>
      <c r="C140" s="5">
        <v>46000</v>
      </c>
      <c r="D140" s="5" t="s">
        <v>34</v>
      </c>
      <c r="E140" s="5" t="s">
        <v>9</v>
      </c>
      <c r="F140" s="5" t="s">
        <v>167</v>
      </c>
      <c r="G140" s="5">
        <f>91 +91987650138</f>
        <v>91987650229</v>
      </c>
    </row>
    <row r="141" spans="1:7" ht="15" thickBot="1" x14ac:dyDescent="0.35">
      <c r="A141" s="5" t="s">
        <v>36</v>
      </c>
      <c r="B141" s="5">
        <v>1000000140</v>
      </c>
      <c r="C141" s="5">
        <v>77000</v>
      </c>
      <c r="D141" s="5" t="s">
        <v>37</v>
      </c>
      <c r="E141" s="5" t="s">
        <v>13</v>
      </c>
      <c r="F141" s="5" t="s">
        <v>168</v>
      </c>
      <c r="G141" s="5">
        <f>91 +91987650139</f>
        <v>91987650230</v>
      </c>
    </row>
    <row r="142" spans="1:7" ht="15" thickBot="1" x14ac:dyDescent="0.35">
      <c r="A142" s="5" t="s">
        <v>7</v>
      </c>
      <c r="B142" s="5">
        <v>1000000141</v>
      </c>
      <c r="C142" s="5">
        <v>50000</v>
      </c>
      <c r="D142" s="5" t="s">
        <v>8</v>
      </c>
      <c r="E142" s="5" t="s">
        <v>9</v>
      </c>
      <c r="F142" s="5" t="s">
        <v>169</v>
      </c>
      <c r="G142" s="5">
        <f>91 +91987650140</f>
        <v>91987650231</v>
      </c>
    </row>
    <row r="143" spans="1:7" ht="15" thickBot="1" x14ac:dyDescent="0.35">
      <c r="A143" s="5" t="s">
        <v>11</v>
      </c>
      <c r="B143" s="5">
        <v>1000000142</v>
      </c>
      <c r="C143" s="5">
        <v>75000</v>
      </c>
      <c r="D143" s="5" t="s">
        <v>12</v>
      </c>
      <c r="E143" s="5" t="s">
        <v>13</v>
      </c>
      <c r="F143" s="5" t="s">
        <v>170</v>
      </c>
      <c r="G143" s="5">
        <f>91 +91987650141</f>
        <v>91987650232</v>
      </c>
    </row>
    <row r="144" spans="1:7" ht="15" thickBot="1" x14ac:dyDescent="0.35">
      <c r="A144" s="5" t="s">
        <v>15</v>
      </c>
      <c r="B144" s="5">
        <v>1000000143</v>
      </c>
      <c r="C144" s="5">
        <v>120000</v>
      </c>
      <c r="D144" s="5" t="s">
        <v>16</v>
      </c>
      <c r="E144" s="5" t="s">
        <v>9</v>
      </c>
      <c r="F144" s="5" t="s">
        <v>171</v>
      </c>
      <c r="G144" s="5">
        <f>91 +91987650142</f>
        <v>91987650233</v>
      </c>
    </row>
    <row r="145" spans="1:7" ht="15" thickBot="1" x14ac:dyDescent="0.35">
      <c r="A145" s="5" t="s">
        <v>18</v>
      </c>
      <c r="B145" s="5">
        <v>1000000144</v>
      </c>
      <c r="C145" s="5">
        <v>45000</v>
      </c>
      <c r="D145" s="5" t="s">
        <v>19</v>
      </c>
      <c r="E145" s="5" t="s">
        <v>13</v>
      </c>
      <c r="F145" s="5" t="s">
        <v>172</v>
      </c>
      <c r="G145" s="5">
        <f>91 +91987650143</f>
        <v>91987650234</v>
      </c>
    </row>
    <row r="146" spans="1:7" ht="15" thickBot="1" x14ac:dyDescent="0.35">
      <c r="A146" s="5" t="s">
        <v>21</v>
      </c>
      <c r="B146" s="5">
        <v>1000000145</v>
      </c>
      <c r="C146" s="5">
        <v>98000</v>
      </c>
      <c r="D146" s="5" t="s">
        <v>22</v>
      </c>
      <c r="E146" s="5" t="s">
        <v>9</v>
      </c>
      <c r="F146" s="5" t="s">
        <v>173</v>
      </c>
      <c r="G146" s="5">
        <f>91 +91987650144</f>
        <v>91987650235</v>
      </c>
    </row>
    <row r="147" spans="1:7" ht="15" thickBot="1" x14ac:dyDescent="0.35">
      <c r="A147" s="5" t="s">
        <v>24</v>
      </c>
      <c r="B147" s="5">
        <v>1000000146</v>
      </c>
      <c r="C147" s="5">
        <v>67000</v>
      </c>
      <c r="D147" s="5" t="s">
        <v>25</v>
      </c>
      <c r="E147" s="5" t="s">
        <v>13</v>
      </c>
      <c r="F147" s="5" t="s">
        <v>174</v>
      </c>
      <c r="G147" s="5">
        <f>91 +91987650145</f>
        <v>91987650236</v>
      </c>
    </row>
    <row r="148" spans="1:7" ht="15" thickBot="1" x14ac:dyDescent="0.35">
      <c r="A148" s="5" t="s">
        <v>27</v>
      </c>
      <c r="B148" s="5">
        <v>1000000147</v>
      </c>
      <c r="C148" s="5">
        <v>56000</v>
      </c>
      <c r="D148" s="5" t="s">
        <v>28</v>
      </c>
      <c r="E148" s="5" t="s">
        <v>9</v>
      </c>
      <c r="F148" s="5" t="s">
        <v>175</v>
      </c>
      <c r="G148" s="5">
        <f>91 +91987650146</f>
        <v>91987650237</v>
      </c>
    </row>
    <row r="149" spans="1:7" ht="15" thickBot="1" x14ac:dyDescent="0.35">
      <c r="A149" s="5" t="s">
        <v>30</v>
      </c>
      <c r="B149" s="5">
        <v>1000000148</v>
      </c>
      <c r="C149" s="5">
        <v>89000</v>
      </c>
      <c r="D149" s="5" t="s">
        <v>31</v>
      </c>
      <c r="E149" s="5" t="s">
        <v>13</v>
      </c>
      <c r="F149" s="5" t="s">
        <v>176</v>
      </c>
      <c r="G149" s="5">
        <f>91 +91987650147</f>
        <v>91987650238</v>
      </c>
    </row>
    <row r="150" spans="1:7" ht="15" thickBot="1" x14ac:dyDescent="0.35">
      <c r="A150" s="5" t="s">
        <v>33</v>
      </c>
      <c r="B150" s="5">
        <v>1000000149</v>
      </c>
      <c r="C150" s="5">
        <v>46000</v>
      </c>
      <c r="D150" s="5" t="s">
        <v>34</v>
      </c>
      <c r="E150" s="5" t="s">
        <v>9</v>
      </c>
      <c r="F150" s="5" t="s">
        <v>177</v>
      </c>
      <c r="G150" s="5">
        <f>91 +91987650148</f>
        <v>91987650239</v>
      </c>
    </row>
    <row r="151" spans="1:7" ht="15" thickBot="1" x14ac:dyDescent="0.35">
      <c r="A151" s="5" t="s">
        <v>36</v>
      </c>
      <c r="B151" s="5">
        <v>1000000150</v>
      </c>
      <c r="C151" s="5">
        <v>77000</v>
      </c>
      <c r="D151" s="5" t="s">
        <v>37</v>
      </c>
      <c r="E151" s="5" t="s">
        <v>13</v>
      </c>
      <c r="F151" s="5" t="s">
        <v>178</v>
      </c>
      <c r="G151" s="5">
        <f>91 +91987650149</f>
        <v>91987650240</v>
      </c>
    </row>
    <row r="152" spans="1:7" ht="15" thickBot="1" x14ac:dyDescent="0.35">
      <c r="A152" s="5" t="s">
        <v>7</v>
      </c>
      <c r="B152" s="5">
        <v>1000000151</v>
      </c>
      <c r="C152" s="5">
        <v>50000</v>
      </c>
      <c r="D152" s="5" t="s">
        <v>8</v>
      </c>
      <c r="E152" s="5" t="s">
        <v>9</v>
      </c>
      <c r="F152" s="5" t="s">
        <v>179</v>
      </c>
      <c r="G152" s="5">
        <f>91 +91987650150</f>
        <v>91987650241</v>
      </c>
    </row>
    <row r="153" spans="1:7" ht="15" thickBot="1" x14ac:dyDescent="0.35">
      <c r="A153" s="5" t="s">
        <v>11</v>
      </c>
      <c r="B153" s="5">
        <v>1000000152</v>
      </c>
      <c r="C153" s="5">
        <v>75000</v>
      </c>
      <c r="D153" s="5" t="s">
        <v>12</v>
      </c>
      <c r="E153" s="5" t="s">
        <v>13</v>
      </c>
      <c r="F153" s="5" t="s">
        <v>180</v>
      </c>
      <c r="G153" s="5">
        <f>91 +91987650151</f>
        <v>91987650242</v>
      </c>
    </row>
    <row r="154" spans="1:7" ht="15" thickBot="1" x14ac:dyDescent="0.35">
      <c r="A154" s="5" t="s">
        <v>15</v>
      </c>
      <c r="B154" s="5">
        <v>1000000153</v>
      </c>
      <c r="C154" s="5">
        <v>120000</v>
      </c>
      <c r="D154" s="5" t="s">
        <v>16</v>
      </c>
      <c r="E154" s="5" t="s">
        <v>9</v>
      </c>
      <c r="F154" s="5" t="s">
        <v>181</v>
      </c>
      <c r="G154" s="5">
        <f>91 +91987650152</f>
        <v>91987650243</v>
      </c>
    </row>
    <row r="155" spans="1:7" ht="15" thickBot="1" x14ac:dyDescent="0.35">
      <c r="A155" s="5" t="s">
        <v>18</v>
      </c>
      <c r="B155" s="5">
        <v>1000000154</v>
      </c>
      <c r="C155" s="5">
        <v>45000</v>
      </c>
      <c r="D155" s="5" t="s">
        <v>19</v>
      </c>
      <c r="E155" s="5" t="s">
        <v>13</v>
      </c>
      <c r="F155" s="5" t="s">
        <v>182</v>
      </c>
      <c r="G155" s="5">
        <f>91 +91987650153</f>
        <v>91987650244</v>
      </c>
    </row>
    <row r="156" spans="1:7" ht="15" thickBot="1" x14ac:dyDescent="0.35">
      <c r="A156" s="5" t="s">
        <v>21</v>
      </c>
      <c r="B156" s="5">
        <v>1000000155</v>
      </c>
      <c r="C156" s="5">
        <v>98000</v>
      </c>
      <c r="D156" s="5" t="s">
        <v>22</v>
      </c>
      <c r="E156" s="5" t="s">
        <v>9</v>
      </c>
      <c r="F156" s="5" t="s">
        <v>183</v>
      </c>
      <c r="G156" s="5">
        <f>91 +91987650154</f>
        <v>91987650245</v>
      </c>
    </row>
    <row r="157" spans="1:7" ht="15" thickBot="1" x14ac:dyDescent="0.35">
      <c r="A157" s="5" t="s">
        <v>24</v>
      </c>
      <c r="B157" s="5">
        <v>1000000156</v>
      </c>
      <c r="C157" s="5">
        <v>67000</v>
      </c>
      <c r="D157" s="5" t="s">
        <v>25</v>
      </c>
      <c r="E157" s="5" t="s">
        <v>13</v>
      </c>
      <c r="F157" s="5" t="s">
        <v>184</v>
      </c>
      <c r="G157" s="5">
        <f>91 +91987650155</f>
        <v>91987650246</v>
      </c>
    </row>
    <row r="158" spans="1:7" ht="15" thickBot="1" x14ac:dyDescent="0.35">
      <c r="A158" s="5" t="s">
        <v>27</v>
      </c>
      <c r="B158" s="5">
        <v>1000000157</v>
      </c>
      <c r="C158" s="5">
        <v>56000</v>
      </c>
      <c r="D158" s="5" t="s">
        <v>28</v>
      </c>
      <c r="E158" s="5" t="s">
        <v>9</v>
      </c>
      <c r="F158" s="5" t="s">
        <v>185</v>
      </c>
      <c r="G158" s="5">
        <f>91 +91987650156</f>
        <v>91987650247</v>
      </c>
    </row>
    <row r="159" spans="1:7" ht="15" thickBot="1" x14ac:dyDescent="0.35">
      <c r="A159" s="5" t="s">
        <v>30</v>
      </c>
      <c r="B159" s="5">
        <v>1000000158</v>
      </c>
      <c r="C159" s="5">
        <v>89000</v>
      </c>
      <c r="D159" s="5" t="s">
        <v>31</v>
      </c>
      <c r="E159" s="5" t="s">
        <v>13</v>
      </c>
      <c r="F159" s="5" t="s">
        <v>186</v>
      </c>
      <c r="G159" s="5">
        <f>91 +91987650157</f>
        <v>91987650248</v>
      </c>
    </row>
    <row r="160" spans="1:7" ht="15" thickBot="1" x14ac:dyDescent="0.35">
      <c r="A160" s="5" t="s">
        <v>33</v>
      </c>
      <c r="B160" s="5">
        <v>1000000159</v>
      </c>
      <c r="C160" s="5">
        <v>46000</v>
      </c>
      <c r="D160" s="5" t="s">
        <v>34</v>
      </c>
      <c r="E160" s="5" t="s">
        <v>9</v>
      </c>
      <c r="F160" s="5" t="s">
        <v>187</v>
      </c>
      <c r="G160" s="5">
        <f>91 +91987650158</f>
        <v>91987650249</v>
      </c>
    </row>
    <row r="161" spans="1:7" ht="15" thickBot="1" x14ac:dyDescent="0.35">
      <c r="A161" s="5" t="s">
        <v>36</v>
      </c>
      <c r="B161" s="5">
        <v>1000000160</v>
      </c>
      <c r="C161" s="5">
        <v>77000</v>
      </c>
      <c r="D161" s="5" t="s">
        <v>37</v>
      </c>
      <c r="E161" s="5" t="s">
        <v>13</v>
      </c>
      <c r="F161" s="5" t="s">
        <v>188</v>
      </c>
      <c r="G161" s="5">
        <f>91 +91987650159</f>
        <v>91987650250</v>
      </c>
    </row>
    <row r="162" spans="1:7" ht="15" thickBot="1" x14ac:dyDescent="0.35">
      <c r="A162" s="5" t="s">
        <v>7</v>
      </c>
      <c r="B162" s="5">
        <v>1000000161</v>
      </c>
      <c r="C162" s="5">
        <v>50000</v>
      </c>
      <c r="D162" s="5" t="s">
        <v>8</v>
      </c>
      <c r="E162" s="5" t="s">
        <v>9</v>
      </c>
      <c r="F162" s="5" t="s">
        <v>189</v>
      </c>
      <c r="G162" s="5">
        <f>91 +91987650160</f>
        <v>91987650251</v>
      </c>
    </row>
    <row r="163" spans="1:7" ht="15" thickBot="1" x14ac:dyDescent="0.35">
      <c r="A163" s="5" t="s">
        <v>11</v>
      </c>
      <c r="B163" s="5">
        <v>1000000162</v>
      </c>
      <c r="C163" s="5">
        <v>75000</v>
      </c>
      <c r="D163" s="5" t="s">
        <v>12</v>
      </c>
      <c r="E163" s="5" t="s">
        <v>13</v>
      </c>
      <c r="F163" s="5" t="s">
        <v>190</v>
      </c>
      <c r="G163" s="5">
        <f>91 +91987650161</f>
        <v>91987650252</v>
      </c>
    </row>
    <row r="164" spans="1:7" ht="15" thickBot="1" x14ac:dyDescent="0.35">
      <c r="A164" s="5" t="s">
        <v>15</v>
      </c>
      <c r="B164" s="5">
        <v>1000000163</v>
      </c>
      <c r="C164" s="5">
        <v>120000</v>
      </c>
      <c r="D164" s="5" t="s">
        <v>16</v>
      </c>
      <c r="E164" s="5" t="s">
        <v>9</v>
      </c>
      <c r="F164" s="5" t="s">
        <v>191</v>
      </c>
      <c r="G164" s="5">
        <f>91 +91987650162</f>
        <v>91987650253</v>
      </c>
    </row>
    <row r="165" spans="1:7" ht="15" thickBot="1" x14ac:dyDescent="0.35">
      <c r="A165" s="5" t="s">
        <v>18</v>
      </c>
      <c r="B165" s="5">
        <v>1000000164</v>
      </c>
      <c r="C165" s="5">
        <v>45000</v>
      </c>
      <c r="D165" s="5" t="s">
        <v>19</v>
      </c>
      <c r="E165" s="5" t="s">
        <v>13</v>
      </c>
      <c r="F165" s="5" t="s">
        <v>192</v>
      </c>
      <c r="G165" s="5">
        <f>91 +91987650163</f>
        <v>91987650254</v>
      </c>
    </row>
    <row r="166" spans="1:7" ht="15" thickBot="1" x14ac:dyDescent="0.35">
      <c r="A166" s="5" t="s">
        <v>21</v>
      </c>
      <c r="B166" s="5">
        <v>1000000165</v>
      </c>
      <c r="C166" s="5">
        <v>98000</v>
      </c>
      <c r="D166" s="5" t="s">
        <v>22</v>
      </c>
      <c r="E166" s="5" t="s">
        <v>9</v>
      </c>
      <c r="F166" s="5" t="s">
        <v>193</v>
      </c>
      <c r="G166" s="5">
        <f>91 +91987650164</f>
        <v>91987650255</v>
      </c>
    </row>
    <row r="167" spans="1:7" ht="15" thickBot="1" x14ac:dyDescent="0.35">
      <c r="A167" s="5" t="s">
        <v>24</v>
      </c>
      <c r="B167" s="5">
        <v>1000000166</v>
      </c>
      <c r="C167" s="5">
        <v>67000</v>
      </c>
      <c r="D167" s="5" t="s">
        <v>25</v>
      </c>
      <c r="E167" s="5" t="s">
        <v>13</v>
      </c>
      <c r="F167" s="5" t="s">
        <v>194</v>
      </c>
      <c r="G167" s="5">
        <f>91 +91987650165</f>
        <v>91987650256</v>
      </c>
    </row>
    <row r="168" spans="1:7" ht="15" thickBot="1" x14ac:dyDescent="0.35">
      <c r="A168" s="5" t="s">
        <v>27</v>
      </c>
      <c r="B168" s="5">
        <v>1000000167</v>
      </c>
      <c r="C168" s="5">
        <v>56000</v>
      </c>
      <c r="D168" s="5" t="s">
        <v>28</v>
      </c>
      <c r="E168" s="5" t="s">
        <v>9</v>
      </c>
      <c r="F168" s="5" t="s">
        <v>195</v>
      </c>
      <c r="G168" s="5">
        <f>91 +91987650166</f>
        <v>91987650257</v>
      </c>
    </row>
    <row r="169" spans="1:7" ht="15" thickBot="1" x14ac:dyDescent="0.35">
      <c r="A169" s="5" t="s">
        <v>30</v>
      </c>
      <c r="B169" s="5">
        <v>1000000168</v>
      </c>
      <c r="C169" s="5">
        <v>89000</v>
      </c>
      <c r="D169" s="5" t="s">
        <v>31</v>
      </c>
      <c r="E169" s="5" t="s">
        <v>13</v>
      </c>
      <c r="F169" s="5" t="s">
        <v>196</v>
      </c>
      <c r="G169" s="5">
        <f>91 +91987650167</f>
        <v>91987650258</v>
      </c>
    </row>
    <row r="170" spans="1:7" ht="15" thickBot="1" x14ac:dyDescent="0.35">
      <c r="A170" s="5" t="s">
        <v>33</v>
      </c>
      <c r="B170" s="5">
        <v>1000000169</v>
      </c>
      <c r="C170" s="5">
        <v>46000</v>
      </c>
      <c r="D170" s="5" t="s">
        <v>34</v>
      </c>
      <c r="E170" s="5" t="s">
        <v>9</v>
      </c>
      <c r="F170" s="5" t="s">
        <v>197</v>
      </c>
      <c r="G170" s="5">
        <f>91 +91987650168</f>
        <v>91987650259</v>
      </c>
    </row>
    <row r="171" spans="1:7" ht="15" thickBot="1" x14ac:dyDescent="0.35">
      <c r="A171" s="5" t="s">
        <v>36</v>
      </c>
      <c r="B171" s="5">
        <v>1000000170</v>
      </c>
      <c r="C171" s="5">
        <v>77000</v>
      </c>
      <c r="D171" s="5" t="s">
        <v>37</v>
      </c>
      <c r="E171" s="5" t="s">
        <v>13</v>
      </c>
      <c r="F171" s="5" t="s">
        <v>198</v>
      </c>
      <c r="G171" s="5">
        <f>91 +91987650169</f>
        <v>91987650260</v>
      </c>
    </row>
    <row r="172" spans="1:7" ht="15" thickBot="1" x14ac:dyDescent="0.35">
      <c r="A172" s="5" t="s">
        <v>7</v>
      </c>
      <c r="B172" s="5">
        <v>1000000171</v>
      </c>
      <c r="C172" s="5">
        <v>50000</v>
      </c>
      <c r="D172" s="5" t="s">
        <v>8</v>
      </c>
      <c r="E172" s="5" t="s">
        <v>9</v>
      </c>
      <c r="F172" s="5" t="s">
        <v>199</v>
      </c>
      <c r="G172" s="5">
        <f>91 +91987650170</f>
        <v>91987650261</v>
      </c>
    </row>
    <row r="173" spans="1:7" ht="15" thickBot="1" x14ac:dyDescent="0.35">
      <c r="A173" s="5" t="s">
        <v>11</v>
      </c>
      <c r="B173" s="5">
        <v>1000000172</v>
      </c>
      <c r="C173" s="5">
        <v>75000</v>
      </c>
      <c r="D173" s="5" t="s">
        <v>12</v>
      </c>
      <c r="E173" s="5" t="s">
        <v>13</v>
      </c>
      <c r="F173" s="5" t="s">
        <v>200</v>
      </c>
      <c r="G173" s="5">
        <f>91 +91987650171</f>
        <v>91987650262</v>
      </c>
    </row>
    <row r="174" spans="1:7" ht="15" thickBot="1" x14ac:dyDescent="0.35">
      <c r="A174" s="5" t="s">
        <v>15</v>
      </c>
      <c r="B174" s="5">
        <v>1000000173</v>
      </c>
      <c r="C174" s="5">
        <v>120000</v>
      </c>
      <c r="D174" s="5" t="s">
        <v>16</v>
      </c>
      <c r="E174" s="5" t="s">
        <v>9</v>
      </c>
      <c r="F174" s="5" t="s">
        <v>201</v>
      </c>
      <c r="G174" s="5">
        <f>91 +91987650172</f>
        <v>91987650263</v>
      </c>
    </row>
    <row r="175" spans="1:7" ht="15" thickBot="1" x14ac:dyDescent="0.35">
      <c r="A175" s="5" t="s">
        <v>18</v>
      </c>
      <c r="B175" s="5">
        <v>1000000174</v>
      </c>
      <c r="C175" s="5">
        <v>45000</v>
      </c>
      <c r="D175" s="5" t="s">
        <v>19</v>
      </c>
      <c r="E175" s="5" t="s">
        <v>13</v>
      </c>
      <c r="F175" s="5" t="s">
        <v>202</v>
      </c>
      <c r="G175" s="5">
        <f>91 +91987650173</f>
        <v>91987650264</v>
      </c>
    </row>
    <row r="176" spans="1:7" ht="15" thickBot="1" x14ac:dyDescent="0.35">
      <c r="A176" s="5" t="s">
        <v>21</v>
      </c>
      <c r="B176" s="5">
        <v>1000000175</v>
      </c>
      <c r="C176" s="5">
        <v>98000</v>
      </c>
      <c r="D176" s="5" t="s">
        <v>22</v>
      </c>
      <c r="E176" s="5" t="s">
        <v>9</v>
      </c>
      <c r="F176" s="5" t="s">
        <v>203</v>
      </c>
      <c r="G176" s="5">
        <f>91 +91987650174</f>
        <v>91987650265</v>
      </c>
    </row>
    <row r="177" spans="1:7" ht="15" thickBot="1" x14ac:dyDescent="0.35">
      <c r="A177" s="5" t="s">
        <v>24</v>
      </c>
      <c r="B177" s="5">
        <v>1000000176</v>
      </c>
      <c r="C177" s="5">
        <v>67000</v>
      </c>
      <c r="D177" s="5" t="s">
        <v>25</v>
      </c>
      <c r="E177" s="5" t="s">
        <v>13</v>
      </c>
      <c r="F177" s="5" t="s">
        <v>204</v>
      </c>
      <c r="G177" s="5">
        <f>91 +91987650175</f>
        <v>91987650266</v>
      </c>
    </row>
    <row r="178" spans="1:7" ht="15" thickBot="1" x14ac:dyDescent="0.35">
      <c r="A178" s="5" t="s">
        <v>27</v>
      </c>
      <c r="B178" s="5">
        <v>1000000177</v>
      </c>
      <c r="C178" s="5">
        <v>56000</v>
      </c>
      <c r="D178" s="5" t="s">
        <v>28</v>
      </c>
      <c r="E178" s="5" t="s">
        <v>9</v>
      </c>
      <c r="F178" s="5" t="s">
        <v>205</v>
      </c>
      <c r="G178" s="5">
        <f>91 +91987650176</f>
        <v>91987650267</v>
      </c>
    </row>
    <row r="179" spans="1:7" ht="15" thickBot="1" x14ac:dyDescent="0.35">
      <c r="A179" s="5" t="s">
        <v>30</v>
      </c>
      <c r="B179" s="5">
        <v>1000000178</v>
      </c>
      <c r="C179" s="5">
        <v>89000</v>
      </c>
      <c r="D179" s="5" t="s">
        <v>31</v>
      </c>
      <c r="E179" s="5" t="s">
        <v>13</v>
      </c>
      <c r="F179" s="5" t="s">
        <v>206</v>
      </c>
      <c r="G179" s="5">
        <f>91 +91987650177</f>
        <v>91987650268</v>
      </c>
    </row>
    <row r="180" spans="1:7" ht="15" thickBot="1" x14ac:dyDescent="0.35">
      <c r="A180" s="5" t="s">
        <v>33</v>
      </c>
      <c r="B180" s="5">
        <v>1000000179</v>
      </c>
      <c r="C180" s="5">
        <v>46000</v>
      </c>
      <c r="D180" s="5" t="s">
        <v>34</v>
      </c>
      <c r="E180" s="5" t="s">
        <v>9</v>
      </c>
      <c r="F180" s="5" t="s">
        <v>207</v>
      </c>
      <c r="G180" s="5">
        <f>91 +91987650178</f>
        <v>91987650269</v>
      </c>
    </row>
    <row r="181" spans="1:7" ht="15" thickBot="1" x14ac:dyDescent="0.35">
      <c r="A181" s="5" t="s">
        <v>36</v>
      </c>
      <c r="B181" s="5">
        <v>1000000180</v>
      </c>
      <c r="C181" s="5">
        <v>77000</v>
      </c>
      <c r="D181" s="5" t="s">
        <v>37</v>
      </c>
      <c r="E181" s="5" t="s">
        <v>13</v>
      </c>
      <c r="F181" s="5" t="s">
        <v>208</v>
      </c>
      <c r="G181" s="5">
        <f>91 +91987650179</f>
        <v>91987650270</v>
      </c>
    </row>
    <row r="182" spans="1:7" ht="15" thickBot="1" x14ac:dyDescent="0.35">
      <c r="A182" s="5" t="s">
        <v>7</v>
      </c>
      <c r="B182" s="5">
        <v>1000000181</v>
      </c>
      <c r="C182" s="5">
        <v>50000</v>
      </c>
      <c r="D182" s="5" t="s">
        <v>8</v>
      </c>
      <c r="E182" s="5" t="s">
        <v>9</v>
      </c>
      <c r="F182" s="5" t="s">
        <v>209</v>
      </c>
      <c r="G182" s="5">
        <f>91 +91987650180</f>
        <v>91987650271</v>
      </c>
    </row>
    <row r="183" spans="1:7" ht="15" thickBot="1" x14ac:dyDescent="0.35">
      <c r="A183" s="5" t="s">
        <v>11</v>
      </c>
      <c r="B183" s="5">
        <v>1000000182</v>
      </c>
      <c r="C183" s="5">
        <v>75000</v>
      </c>
      <c r="D183" s="5" t="s">
        <v>12</v>
      </c>
      <c r="E183" s="5" t="s">
        <v>13</v>
      </c>
      <c r="F183" s="5" t="s">
        <v>210</v>
      </c>
      <c r="G183" s="5">
        <f>91 +91987650181</f>
        <v>91987650272</v>
      </c>
    </row>
    <row r="184" spans="1:7" ht="15" thickBot="1" x14ac:dyDescent="0.35">
      <c r="A184" s="5" t="s">
        <v>15</v>
      </c>
      <c r="B184" s="5">
        <v>1000000183</v>
      </c>
      <c r="C184" s="5">
        <v>120000</v>
      </c>
      <c r="D184" s="5" t="s">
        <v>16</v>
      </c>
      <c r="E184" s="5" t="s">
        <v>9</v>
      </c>
      <c r="F184" s="5" t="s">
        <v>211</v>
      </c>
      <c r="G184" s="5">
        <f>91 +91987650182</f>
        <v>91987650273</v>
      </c>
    </row>
    <row r="185" spans="1:7" ht="15" thickBot="1" x14ac:dyDescent="0.35">
      <c r="A185" s="5" t="s">
        <v>18</v>
      </c>
      <c r="B185" s="5">
        <v>1000000184</v>
      </c>
      <c r="C185" s="5">
        <v>45000</v>
      </c>
      <c r="D185" s="5" t="s">
        <v>19</v>
      </c>
      <c r="E185" s="5" t="s">
        <v>13</v>
      </c>
      <c r="F185" s="5" t="s">
        <v>212</v>
      </c>
      <c r="G185" s="5">
        <f>91 +91987650183</f>
        <v>91987650274</v>
      </c>
    </row>
    <row r="186" spans="1:7" ht="15" thickBot="1" x14ac:dyDescent="0.35">
      <c r="A186" s="5" t="s">
        <v>21</v>
      </c>
      <c r="B186" s="5">
        <v>1000000185</v>
      </c>
      <c r="C186" s="5">
        <v>98000</v>
      </c>
      <c r="D186" s="5" t="s">
        <v>22</v>
      </c>
      <c r="E186" s="5" t="s">
        <v>9</v>
      </c>
      <c r="F186" s="5" t="s">
        <v>213</v>
      </c>
      <c r="G186" s="5">
        <f>91 +91987650184</f>
        <v>91987650275</v>
      </c>
    </row>
    <row r="187" spans="1:7" ht="15" thickBot="1" x14ac:dyDescent="0.35">
      <c r="A187" s="5" t="s">
        <v>24</v>
      </c>
      <c r="B187" s="5">
        <v>1000000186</v>
      </c>
      <c r="C187" s="5">
        <v>67000</v>
      </c>
      <c r="D187" s="5" t="s">
        <v>25</v>
      </c>
      <c r="E187" s="5" t="s">
        <v>13</v>
      </c>
      <c r="F187" s="5" t="s">
        <v>214</v>
      </c>
      <c r="G187" s="5">
        <f>91 +91987650185</f>
        <v>91987650276</v>
      </c>
    </row>
    <row r="188" spans="1:7" ht="15" thickBot="1" x14ac:dyDescent="0.35">
      <c r="A188" s="5" t="s">
        <v>27</v>
      </c>
      <c r="B188" s="5">
        <v>1000000187</v>
      </c>
      <c r="C188" s="5">
        <v>56000</v>
      </c>
      <c r="D188" s="5" t="s">
        <v>28</v>
      </c>
      <c r="E188" s="5" t="s">
        <v>9</v>
      </c>
      <c r="F188" s="5" t="s">
        <v>215</v>
      </c>
      <c r="G188" s="5">
        <f>91 +91987650186</f>
        <v>91987650277</v>
      </c>
    </row>
    <row r="189" spans="1:7" ht="15" thickBot="1" x14ac:dyDescent="0.35">
      <c r="A189" s="5" t="s">
        <v>30</v>
      </c>
      <c r="B189" s="5">
        <v>1000000188</v>
      </c>
      <c r="C189" s="5">
        <v>89000</v>
      </c>
      <c r="D189" s="5" t="s">
        <v>31</v>
      </c>
      <c r="E189" s="5" t="s">
        <v>13</v>
      </c>
      <c r="F189" s="5" t="s">
        <v>216</v>
      </c>
      <c r="G189" s="5">
        <f>91 +91987650187</f>
        <v>91987650278</v>
      </c>
    </row>
    <row r="190" spans="1:7" ht="15" thickBot="1" x14ac:dyDescent="0.35">
      <c r="A190" s="5" t="s">
        <v>33</v>
      </c>
      <c r="B190" s="5">
        <v>1000000189</v>
      </c>
      <c r="C190" s="5">
        <v>46000</v>
      </c>
      <c r="D190" s="5" t="s">
        <v>34</v>
      </c>
      <c r="E190" s="5" t="s">
        <v>9</v>
      </c>
      <c r="F190" s="5" t="s">
        <v>217</v>
      </c>
      <c r="G190" s="5">
        <f>91 +91987650188</f>
        <v>91987650279</v>
      </c>
    </row>
    <row r="191" spans="1:7" ht="15" thickBot="1" x14ac:dyDescent="0.35">
      <c r="A191" s="5" t="s">
        <v>36</v>
      </c>
      <c r="B191" s="5">
        <v>1000000190</v>
      </c>
      <c r="C191" s="5">
        <v>77000</v>
      </c>
      <c r="D191" s="5" t="s">
        <v>37</v>
      </c>
      <c r="E191" s="5" t="s">
        <v>13</v>
      </c>
      <c r="F191" s="5" t="s">
        <v>218</v>
      </c>
      <c r="G191" s="5">
        <f>91 +91987650189</f>
        <v>91987650280</v>
      </c>
    </row>
    <row r="192" spans="1:7" ht="15" thickBot="1" x14ac:dyDescent="0.35">
      <c r="A192" s="5" t="s">
        <v>7</v>
      </c>
      <c r="B192" s="5">
        <v>1000000191</v>
      </c>
      <c r="C192" s="5">
        <v>50000</v>
      </c>
      <c r="D192" s="5" t="s">
        <v>8</v>
      </c>
      <c r="E192" s="5" t="s">
        <v>9</v>
      </c>
      <c r="F192" s="5" t="s">
        <v>219</v>
      </c>
      <c r="G192" s="5">
        <f>91 +91987650190</f>
        <v>91987650281</v>
      </c>
    </row>
    <row r="193" spans="1:7" ht="15" thickBot="1" x14ac:dyDescent="0.35">
      <c r="A193" s="5" t="s">
        <v>11</v>
      </c>
      <c r="B193" s="5">
        <v>1000000192</v>
      </c>
      <c r="C193" s="5">
        <v>75000</v>
      </c>
      <c r="D193" s="5" t="s">
        <v>12</v>
      </c>
      <c r="E193" s="5" t="s">
        <v>13</v>
      </c>
      <c r="F193" s="5" t="s">
        <v>220</v>
      </c>
      <c r="G193" s="5">
        <f>91 +91987650191</f>
        <v>91987650282</v>
      </c>
    </row>
    <row r="194" spans="1:7" ht="15" thickBot="1" x14ac:dyDescent="0.35">
      <c r="A194" s="5" t="s">
        <v>15</v>
      </c>
      <c r="B194" s="5">
        <v>1000000193</v>
      </c>
      <c r="C194" s="5">
        <v>120000</v>
      </c>
      <c r="D194" s="5" t="s">
        <v>16</v>
      </c>
      <c r="E194" s="5" t="s">
        <v>9</v>
      </c>
      <c r="F194" s="5" t="s">
        <v>221</v>
      </c>
      <c r="G194" s="5">
        <f>91 +91987650192</f>
        <v>91987650283</v>
      </c>
    </row>
    <row r="195" spans="1:7" ht="15" thickBot="1" x14ac:dyDescent="0.35">
      <c r="A195" s="5" t="s">
        <v>18</v>
      </c>
      <c r="B195" s="5">
        <v>1000000194</v>
      </c>
      <c r="C195" s="5">
        <v>45000</v>
      </c>
      <c r="D195" s="5" t="s">
        <v>19</v>
      </c>
      <c r="E195" s="5" t="s">
        <v>13</v>
      </c>
      <c r="F195" s="5" t="s">
        <v>222</v>
      </c>
      <c r="G195" s="5">
        <f>91 +91987650193</f>
        <v>91987650284</v>
      </c>
    </row>
    <row r="196" spans="1:7" ht="15" thickBot="1" x14ac:dyDescent="0.35">
      <c r="A196" s="5" t="s">
        <v>21</v>
      </c>
      <c r="B196" s="5">
        <v>1000000195</v>
      </c>
      <c r="C196" s="5">
        <v>98000</v>
      </c>
      <c r="D196" s="5" t="s">
        <v>22</v>
      </c>
      <c r="E196" s="5" t="s">
        <v>9</v>
      </c>
      <c r="F196" s="5" t="s">
        <v>223</v>
      </c>
      <c r="G196" s="5">
        <f>91 +91987650194</f>
        <v>91987650285</v>
      </c>
    </row>
    <row r="197" spans="1:7" ht="15" thickBot="1" x14ac:dyDescent="0.35">
      <c r="A197" s="5" t="s">
        <v>24</v>
      </c>
      <c r="B197" s="5">
        <v>1000000196</v>
      </c>
      <c r="C197" s="5">
        <v>67000</v>
      </c>
      <c r="D197" s="5" t="s">
        <v>25</v>
      </c>
      <c r="E197" s="5" t="s">
        <v>13</v>
      </c>
      <c r="F197" s="5" t="s">
        <v>224</v>
      </c>
      <c r="G197" s="5">
        <f>91 +91987650195</f>
        <v>91987650286</v>
      </c>
    </row>
    <row r="198" spans="1:7" ht="15" thickBot="1" x14ac:dyDescent="0.35">
      <c r="A198" s="5" t="s">
        <v>27</v>
      </c>
      <c r="B198" s="5">
        <v>1000000197</v>
      </c>
      <c r="C198" s="5">
        <v>56000</v>
      </c>
      <c r="D198" s="5" t="s">
        <v>28</v>
      </c>
      <c r="E198" s="5" t="s">
        <v>9</v>
      </c>
      <c r="F198" s="5" t="s">
        <v>225</v>
      </c>
      <c r="G198" s="5">
        <f>91 +91987650196</f>
        <v>91987650287</v>
      </c>
    </row>
    <row r="199" spans="1:7" ht="15" thickBot="1" x14ac:dyDescent="0.35">
      <c r="A199" s="5" t="s">
        <v>30</v>
      </c>
      <c r="B199" s="5">
        <v>1000000198</v>
      </c>
      <c r="C199" s="5">
        <v>89000</v>
      </c>
      <c r="D199" s="5" t="s">
        <v>31</v>
      </c>
      <c r="E199" s="5" t="s">
        <v>13</v>
      </c>
      <c r="F199" s="5" t="s">
        <v>226</v>
      </c>
      <c r="G199" s="5">
        <f>91 +91987650197</f>
        <v>91987650288</v>
      </c>
    </row>
    <row r="200" spans="1:7" ht="15" thickBot="1" x14ac:dyDescent="0.35">
      <c r="A200" s="5" t="s">
        <v>33</v>
      </c>
      <c r="B200" s="5">
        <v>1000000199</v>
      </c>
      <c r="C200" s="5">
        <v>46000</v>
      </c>
      <c r="D200" s="5" t="s">
        <v>34</v>
      </c>
      <c r="E200" s="5" t="s">
        <v>9</v>
      </c>
      <c r="F200" s="5" t="s">
        <v>227</v>
      </c>
      <c r="G200" s="5">
        <f>91 +91987650198</f>
        <v>91987650289</v>
      </c>
    </row>
    <row r="201" spans="1:7" ht="15" thickBot="1" x14ac:dyDescent="0.35">
      <c r="A201" s="5" t="s">
        <v>36</v>
      </c>
      <c r="B201" s="5">
        <v>1000000200</v>
      </c>
      <c r="C201" s="5">
        <v>77000</v>
      </c>
      <c r="D201" s="5" t="s">
        <v>37</v>
      </c>
      <c r="E201" s="5" t="s">
        <v>13</v>
      </c>
      <c r="F201" s="5" t="s">
        <v>228</v>
      </c>
      <c r="G201" s="5">
        <f>91 +91987650199</f>
        <v>91987650290</v>
      </c>
    </row>
  </sheetData>
  <mergeCells count="1"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7A74-B0CF-4F39-AD41-F0512FA70291}">
  <dimension ref="A1:R102"/>
  <sheetViews>
    <sheetView tabSelected="1" workbookViewId="0">
      <selection activeCell="I2" sqref="I2:J2"/>
    </sheetView>
  </sheetViews>
  <sheetFormatPr defaultColWidth="31" defaultRowHeight="14.4" x14ac:dyDescent="0.3"/>
  <cols>
    <col min="1" max="1" width="14.6640625" style="12" bestFit="1" customWidth="1"/>
    <col min="2" max="2" width="15.44140625" style="12" bestFit="1" customWidth="1"/>
    <col min="3" max="3" width="12.33203125" style="12" bestFit="1" customWidth="1"/>
    <col min="4" max="4" width="10.6640625" style="12" bestFit="1" customWidth="1"/>
    <col min="5" max="5" width="12.5546875" style="12" bestFit="1" customWidth="1"/>
    <col min="6" max="6" width="22.33203125" style="12" bestFit="1" customWidth="1"/>
    <col min="7" max="7" width="13.88671875" style="12" bestFit="1" customWidth="1"/>
    <col min="8" max="8" width="13.21875" style="12" customWidth="1"/>
    <col min="9" max="9" width="21.6640625" style="12" customWidth="1"/>
    <col min="10" max="10" width="26" style="12" customWidth="1"/>
    <col min="11" max="11" width="10.77734375" style="12" customWidth="1"/>
    <col min="12" max="12" width="15.21875" style="12" bestFit="1" customWidth="1"/>
    <col min="13" max="13" width="15.44140625" style="12" bestFit="1" customWidth="1"/>
    <col min="14" max="14" width="12.33203125" style="12" bestFit="1" customWidth="1"/>
    <col min="15" max="15" width="7.5546875" style="12" bestFit="1" customWidth="1"/>
    <col min="16" max="16" width="12.5546875" style="12" bestFit="1" customWidth="1"/>
    <col min="17" max="17" width="22.33203125" style="12" bestFit="1" customWidth="1"/>
    <col min="18" max="18" width="13.88671875" style="12" bestFit="1" customWidth="1"/>
    <col min="19" max="16384" width="31" style="12"/>
  </cols>
  <sheetData>
    <row r="1" spans="1:18" x14ac:dyDescent="0.3">
      <c r="A1" s="10" t="s">
        <v>230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0" t="s">
        <v>231</v>
      </c>
      <c r="M1" s="10" t="s">
        <v>230</v>
      </c>
      <c r="N1" s="11"/>
      <c r="O1" s="11"/>
      <c r="P1" s="11"/>
      <c r="Q1" s="11"/>
      <c r="R1" s="11"/>
    </row>
    <row r="2" spans="1:18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1"/>
      <c r="I2" s="19" t="s">
        <v>247</v>
      </c>
      <c r="J2" s="19"/>
      <c r="K2" s="11"/>
      <c r="L2" s="10" t="s">
        <v>0</v>
      </c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 t="s">
        <v>6</v>
      </c>
    </row>
    <row r="3" spans="1:18" x14ac:dyDescent="0.3">
      <c r="A3" s="11" t="s">
        <v>7</v>
      </c>
      <c r="B3" s="11">
        <v>1000000001</v>
      </c>
      <c r="C3" s="11">
        <v>50000</v>
      </c>
      <c r="D3" s="11" t="s">
        <v>8</v>
      </c>
      <c r="E3" s="11" t="s">
        <v>9</v>
      </c>
      <c r="F3" s="11" t="s">
        <v>10</v>
      </c>
      <c r="G3" s="11">
        <f>91-987650000</f>
        <v>-987649909</v>
      </c>
      <c r="H3" s="11"/>
      <c r="K3" s="11"/>
      <c r="L3" s="11" t="s">
        <v>11</v>
      </c>
      <c r="M3" s="11">
        <v>1000000002</v>
      </c>
      <c r="N3" s="11">
        <v>75000</v>
      </c>
      <c r="O3" s="11" t="s">
        <v>12</v>
      </c>
      <c r="P3" s="11" t="s">
        <v>13</v>
      </c>
      <c r="Q3" s="11" t="s">
        <v>14</v>
      </c>
      <c r="R3" s="11">
        <f>91-987650001</f>
        <v>-987649910</v>
      </c>
    </row>
    <row r="4" spans="1:18" x14ac:dyDescent="0.3">
      <c r="A4" s="11" t="s">
        <v>15</v>
      </c>
      <c r="B4" s="11">
        <v>1000000003</v>
      </c>
      <c r="C4" s="11">
        <v>120000</v>
      </c>
      <c r="D4" s="11" t="s">
        <v>16</v>
      </c>
      <c r="E4" s="11" t="s">
        <v>9</v>
      </c>
      <c r="F4" s="11" t="s">
        <v>17</v>
      </c>
      <c r="G4" s="11">
        <f>91-987650002</f>
        <v>-987649911</v>
      </c>
      <c r="H4" s="11"/>
      <c r="I4" s="10" t="s">
        <v>1</v>
      </c>
      <c r="J4" s="11">
        <v>1000000009</v>
      </c>
      <c r="K4" s="11"/>
      <c r="L4" s="11" t="s">
        <v>18</v>
      </c>
      <c r="M4" s="11">
        <v>1000000004</v>
      </c>
      <c r="N4" s="11">
        <v>45000</v>
      </c>
      <c r="O4" s="11" t="s">
        <v>19</v>
      </c>
      <c r="P4" s="11" t="s">
        <v>13</v>
      </c>
      <c r="Q4" s="11" t="s">
        <v>20</v>
      </c>
      <c r="R4" s="11">
        <f>91-987650003</f>
        <v>-987649912</v>
      </c>
    </row>
    <row r="5" spans="1:18" x14ac:dyDescent="0.3">
      <c r="A5" s="11" t="s">
        <v>21</v>
      </c>
      <c r="B5" s="11">
        <v>1000000005</v>
      </c>
      <c r="C5" s="11">
        <v>98000</v>
      </c>
      <c r="D5" s="11" t="s">
        <v>22</v>
      </c>
      <c r="E5" s="11" t="s">
        <v>9</v>
      </c>
      <c r="F5" s="11" t="s">
        <v>23</v>
      </c>
      <c r="G5" s="11">
        <f>91-987650004</f>
        <v>-987649913</v>
      </c>
      <c r="H5" s="11"/>
      <c r="I5" s="10" t="s">
        <v>0</v>
      </c>
      <c r="J5" s="11" t="str" cm="1">
        <f t="array" ref="J5">_xlfn.XLOOKUP($J$4,$B$2:$B$102,INDEX($A$2:$G$102,,MATCH(I5,$A$2:$G$2,0)), _xlfn.XLOOKUP($J$4,$M$2:$M$102,INDEX($L$2:$R$102,,MATCH(I5,$L$2:$R$2,0))))</f>
        <v>Aditya Malhotra</v>
      </c>
      <c r="K5" s="11"/>
      <c r="L5" s="11" t="s">
        <v>24</v>
      </c>
      <c r="M5" s="11">
        <v>1000000006</v>
      </c>
      <c r="N5" s="11">
        <v>67000</v>
      </c>
      <c r="O5" s="11" t="s">
        <v>25</v>
      </c>
      <c r="P5" s="11" t="s">
        <v>13</v>
      </c>
      <c r="Q5" s="11" t="s">
        <v>26</v>
      </c>
      <c r="R5" s="11">
        <f>91-987650005</f>
        <v>-987649914</v>
      </c>
    </row>
    <row r="6" spans="1:18" x14ac:dyDescent="0.3">
      <c r="A6" s="11" t="s">
        <v>27</v>
      </c>
      <c r="B6" s="11">
        <v>1000000007</v>
      </c>
      <c r="C6" s="11">
        <v>56000</v>
      </c>
      <c r="D6" s="11" t="s">
        <v>28</v>
      </c>
      <c r="E6" s="11" t="s">
        <v>9</v>
      </c>
      <c r="F6" s="11" t="s">
        <v>29</v>
      </c>
      <c r="G6" s="11">
        <f>91-987650006</f>
        <v>-987649915</v>
      </c>
      <c r="H6" s="11"/>
      <c r="I6" s="10" t="s">
        <v>2</v>
      </c>
      <c r="J6" s="11" cm="1">
        <f t="array" ref="J6">_xlfn.XLOOKUP($J$4,$B$2:$B$102,INDEX($A$2:$G$102,,MATCH(I6,$A$2:$G$2,0)), _xlfn.XLOOKUP($J$4,$M$2:$M$102,INDEX($L$2:$R$102,,MATCH(I6,$L$2:$R$2,0))))</f>
        <v>46000</v>
      </c>
      <c r="K6" s="11"/>
      <c r="L6" s="11" t="s">
        <v>30</v>
      </c>
      <c r="M6" s="11">
        <v>1000000008</v>
      </c>
      <c r="N6" s="11">
        <v>89000</v>
      </c>
      <c r="O6" s="11" t="s">
        <v>31</v>
      </c>
      <c r="P6" s="11" t="s">
        <v>13</v>
      </c>
      <c r="Q6" s="11" t="s">
        <v>32</v>
      </c>
      <c r="R6" s="11">
        <f>91-987650007</f>
        <v>-987649916</v>
      </c>
    </row>
    <row r="7" spans="1:18" x14ac:dyDescent="0.3">
      <c r="A7" s="11" t="s">
        <v>33</v>
      </c>
      <c r="B7" s="11">
        <v>1000000009</v>
      </c>
      <c r="C7" s="11">
        <v>46000</v>
      </c>
      <c r="D7" s="11" t="s">
        <v>34</v>
      </c>
      <c r="E7" s="11" t="s">
        <v>9</v>
      </c>
      <c r="F7" s="11" t="s">
        <v>35</v>
      </c>
      <c r="G7" s="11">
        <f>91-987650008</f>
        <v>-987649917</v>
      </c>
      <c r="H7" s="11"/>
      <c r="I7" s="10" t="s">
        <v>3</v>
      </c>
      <c r="J7" s="11" t="str" cm="1">
        <f t="array" ref="J7">_xlfn.XLOOKUP($J$4,$B$2:$B$102,INDEX($A$2:$G$102,,MATCH(I7,$A$2:$G$2,0)), _xlfn.XLOOKUP($J$4,$M$2:$M$102,INDEX($L$2:$R$102,,MATCH(I7,$L$2:$R$2,0))))</f>
        <v>Surat</v>
      </c>
      <c r="K7" s="11"/>
      <c r="L7" s="11" t="s">
        <v>36</v>
      </c>
      <c r="M7" s="11">
        <v>1000000010</v>
      </c>
      <c r="N7" s="11">
        <v>77000</v>
      </c>
      <c r="O7" s="11" t="s">
        <v>37</v>
      </c>
      <c r="P7" s="11" t="s">
        <v>13</v>
      </c>
      <c r="Q7" s="11" t="s">
        <v>38</v>
      </c>
      <c r="R7" s="11">
        <f>91-987650009</f>
        <v>-987649918</v>
      </c>
    </row>
    <row r="8" spans="1:18" x14ac:dyDescent="0.3">
      <c r="A8" s="11" t="s">
        <v>7</v>
      </c>
      <c r="B8" s="11">
        <v>1000000011</v>
      </c>
      <c r="C8" s="11">
        <v>50000</v>
      </c>
      <c r="D8" s="11" t="s">
        <v>8</v>
      </c>
      <c r="E8" s="11" t="s">
        <v>9</v>
      </c>
      <c r="F8" s="11" t="s">
        <v>39</v>
      </c>
      <c r="G8" s="11">
        <f>91-987650010</f>
        <v>-987649919</v>
      </c>
      <c r="H8" s="11"/>
      <c r="I8" s="10" t="s">
        <v>4</v>
      </c>
      <c r="J8" s="11" t="str" cm="1">
        <f t="array" ref="J8">_xlfn.XLOOKUP($J$4,$B$2:$B$102,INDEX($A$2:$G$102,,MATCH(I8,$A$2:$G$2,0)), _xlfn.XLOOKUP($J$4,$M$2:$M$102,INDEX($L$2:$R$102,,MATCH(I8,$L$2:$R$2,0))))</f>
        <v>Savings</v>
      </c>
      <c r="K8" s="11"/>
      <c r="L8" s="11" t="s">
        <v>11</v>
      </c>
      <c r="M8" s="11">
        <v>1000000012</v>
      </c>
      <c r="N8" s="11">
        <v>75000</v>
      </c>
      <c r="O8" s="11" t="s">
        <v>12</v>
      </c>
      <c r="P8" s="11" t="s">
        <v>13</v>
      </c>
      <c r="Q8" s="11" t="s">
        <v>40</v>
      </c>
      <c r="R8" s="11">
        <f>91-987650011</f>
        <v>-987649920</v>
      </c>
    </row>
    <row r="9" spans="1:18" x14ac:dyDescent="0.3">
      <c r="A9" s="11" t="s">
        <v>15</v>
      </c>
      <c r="B9" s="11">
        <v>1000000013</v>
      </c>
      <c r="C9" s="11">
        <v>120000</v>
      </c>
      <c r="D9" s="11" t="s">
        <v>16</v>
      </c>
      <c r="E9" s="11" t="s">
        <v>9</v>
      </c>
      <c r="F9" s="11" t="s">
        <v>41</v>
      </c>
      <c r="G9" s="11">
        <f>91-987650012</f>
        <v>-987649921</v>
      </c>
      <c r="H9" s="11"/>
      <c r="I9" s="10" t="s">
        <v>5</v>
      </c>
      <c r="J9" s="11" t="str" cm="1">
        <f t="array" ref="J9">_xlfn.XLOOKUP($J$4,$B$2:$B$102,INDEX($A$2:$G$102,,MATCH(I9,$A$2:$G$2,0)), _xlfn.XLOOKUP($J$4,$M$2:$M$102,INDEX($L$2:$R$102,,MATCH(I9,$L$2:$R$2,0))))</f>
        <v>customer9@email.com</v>
      </c>
      <c r="K9" s="11"/>
      <c r="L9" s="11" t="s">
        <v>18</v>
      </c>
      <c r="M9" s="11">
        <v>1000000014</v>
      </c>
      <c r="N9" s="11">
        <v>45000</v>
      </c>
      <c r="O9" s="11" t="s">
        <v>19</v>
      </c>
      <c r="P9" s="11" t="s">
        <v>13</v>
      </c>
      <c r="Q9" s="11" t="s">
        <v>42</v>
      </c>
      <c r="R9" s="11">
        <f>91-987650013</f>
        <v>-987649922</v>
      </c>
    </row>
    <row r="10" spans="1:18" x14ac:dyDescent="0.3">
      <c r="A10" s="11" t="s">
        <v>21</v>
      </c>
      <c r="B10" s="11">
        <v>1000000015</v>
      </c>
      <c r="C10" s="11">
        <v>98000</v>
      </c>
      <c r="D10" s="11" t="s">
        <v>22</v>
      </c>
      <c r="E10" s="11" t="s">
        <v>9</v>
      </c>
      <c r="F10" s="11" t="s">
        <v>43</v>
      </c>
      <c r="G10" s="11">
        <f>91-987650014</f>
        <v>-987649923</v>
      </c>
      <c r="H10" s="11"/>
      <c r="I10" s="10" t="s">
        <v>6</v>
      </c>
      <c r="J10" s="11" cm="1">
        <f t="array" ref="J10">_xlfn.XLOOKUP($J$4,$B$2:$B$102,INDEX($A$2:$G$102,,MATCH(I10,$A$2:$G$2,0)), _xlfn.XLOOKUP($J$4,$M$2:$M$102,INDEX($L$2:$R$102,,MATCH(I10,$L$2:$R$2,0))))</f>
        <v>-987649917</v>
      </c>
      <c r="K10" s="11"/>
      <c r="L10" s="11" t="s">
        <v>24</v>
      </c>
      <c r="M10" s="11">
        <v>1000000016</v>
      </c>
      <c r="N10" s="11">
        <v>67000</v>
      </c>
      <c r="O10" s="11" t="s">
        <v>25</v>
      </c>
      <c r="P10" s="11" t="s">
        <v>13</v>
      </c>
      <c r="Q10" s="11" t="s">
        <v>44</v>
      </c>
      <c r="R10" s="11">
        <f>91-987650015</f>
        <v>-987649924</v>
      </c>
    </row>
    <row r="11" spans="1:18" x14ac:dyDescent="0.3">
      <c r="A11" s="11" t="s">
        <v>27</v>
      </c>
      <c r="B11" s="11">
        <v>1000000017</v>
      </c>
      <c r="C11" s="11">
        <v>56000</v>
      </c>
      <c r="D11" s="11" t="s">
        <v>28</v>
      </c>
      <c r="E11" s="11" t="s">
        <v>9</v>
      </c>
      <c r="F11" s="11" t="s">
        <v>45</v>
      </c>
      <c r="G11" s="11">
        <f>91-987650016</f>
        <v>-987649925</v>
      </c>
      <c r="H11" s="11"/>
      <c r="I11" s="11"/>
      <c r="J11" s="11"/>
      <c r="K11" s="11"/>
      <c r="L11" s="11" t="s">
        <v>30</v>
      </c>
      <c r="M11" s="11">
        <v>1000000018</v>
      </c>
      <c r="N11" s="11">
        <v>89000</v>
      </c>
      <c r="O11" s="11" t="s">
        <v>31</v>
      </c>
      <c r="P11" s="11" t="s">
        <v>13</v>
      </c>
      <c r="Q11" s="11" t="s">
        <v>46</v>
      </c>
      <c r="R11" s="11">
        <f>91-987650017</f>
        <v>-987649926</v>
      </c>
    </row>
    <row r="12" spans="1:18" x14ac:dyDescent="0.3">
      <c r="A12" s="11" t="s">
        <v>33</v>
      </c>
      <c r="B12" s="11">
        <v>1000000019</v>
      </c>
      <c r="C12" s="11">
        <v>46000</v>
      </c>
      <c r="D12" s="11" t="s">
        <v>34</v>
      </c>
      <c r="E12" s="11" t="s">
        <v>9</v>
      </c>
      <c r="F12" s="11" t="s">
        <v>47</v>
      </c>
      <c r="G12" s="11">
        <f>91-987650018</f>
        <v>-987649927</v>
      </c>
      <c r="H12" s="11"/>
      <c r="I12" s="11"/>
      <c r="J12" s="11"/>
      <c r="K12" s="11"/>
      <c r="L12" s="11" t="s">
        <v>36</v>
      </c>
      <c r="M12" s="11">
        <v>1000000020</v>
      </c>
      <c r="N12" s="11">
        <v>77000</v>
      </c>
      <c r="O12" s="11" t="s">
        <v>37</v>
      </c>
      <c r="P12" s="11" t="s">
        <v>13</v>
      </c>
      <c r="Q12" s="11" t="s">
        <v>48</v>
      </c>
      <c r="R12" s="11">
        <f>91-987650019</f>
        <v>-987649928</v>
      </c>
    </row>
    <row r="13" spans="1:18" x14ac:dyDescent="0.3">
      <c r="A13" s="11" t="s">
        <v>7</v>
      </c>
      <c r="B13" s="11">
        <v>1000000021</v>
      </c>
      <c r="C13" s="11">
        <v>50000</v>
      </c>
      <c r="D13" s="11" t="s">
        <v>8</v>
      </c>
      <c r="E13" s="11" t="s">
        <v>9</v>
      </c>
      <c r="F13" s="11" t="s">
        <v>49</v>
      </c>
      <c r="G13" s="11">
        <f>91-987650020</f>
        <v>-987649929</v>
      </c>
      <c r="H13" s="11"/>
      <c r="I13" s="11"/>
      <c r="J13" s="11"/>
      <c r="K13" s="11"/>
      <c r="L13" s="11" t="s">
        <v>11</v>
      </c>
      <c r="M13" s="11">
        <v>1000000022</v>
      </c>
      <c r="N13" s="11">
        <v>75000</v>
      </c>
      <c r="O13" s="11" t="s">
        <v>12</v>
      </c>
      <c r="P13" s="11" t="s">
        <v>13</v>
      </c>
      <c r="Q13" s="11" t="s">
        <v>50</v>
      </c>
      <c r="R13" s="11">
        <f>91-987650021</f>
        <v>-987649930</v>
      </c>
    </row>
    <row r="14" spans="1:18" x14ac:dyDescent="0.3">
      <c r="A14" s="11" t="s">
        <v>15</v>
      </c>
      <c r="B14" s="11">
        <v>1000000023</v>
      </c>
      <c r="C14" s="11">
        <v>120000</v>
      </c>
      <c r="D14" s="11" t="s">
        <v>16</v>
      </c>
      <c r="E14" s="11" t="s">
        <v>9</v>
      </c>
      <c r="F14" s="11" t="s">
        <v>51</v>
      </c>
      <c r="G14" s="11">
        <f>91-987650022</f>
        <v>-987649931</v>
      </c>
      <c r="H14" s="11"/>
      <c r="I14" s="11"/>
      <c r="J14" s="11"/>
      <c r="K14" s="11"/>
      <c r="L14" s="11" t="s">
        <v>18</v>
      </c>
      <c r="M14" s="11">
        <v>1000000024</v>
      </c>
      <c r="N14" s="11">
        <v>45000</v>
      </c>
      <c r="O14" s="11" t="s">
        <v>19</v>
      </c>
      <c r="P14" s="11" t="s">
        <v>13</v>
      </c>
      <c r="Q14" s="11" t="s">
        <v>52</v>
      </c>
      <c r="R14" s="11">
        <f>91-987650023</f>
        <v>-987649932</v>
      </c>
    </row>
    <row r="15" spans="1:18" x14ac:dyDescent="0.3">
      <c r="A15" s="11" t="s">
        <v>21</v>
      </c>
      <c r="B15" s="11">
        <v>1000000025</v>
      </c>
      <c r="C15" s="11">
        <v>98000</v>
      </c>
      <c r="D15" s="11" t="s">
        <v>22</v>
      </c>
      <c r="E15" s="11" t="s">
        <v>9</v>
      </c>
      <c r="F15" s="11" t="s">
        <v>53</v>
      </c>
      <c r="G15" s="11">
        <f>91-987650024</f>
        <v>-987649933</v>
      </c>
      <c r="H15" s="11"/>
      <c r="I15" s="11"/>
      <c r="J15" s="11"/>
      <c r="K15" s="11"/>
      <c r="L15" s="11" t="s">
        <v>24</v>
      </c>
      <c r="M15" s="11">
        <v>1000000026</v>
      </c>
      <c r="N15" s="11">
        <v>67000</v>
      </c>
      <c r="O15" s="11" t="s">
        <v>25</v>
      </c>
      <c r="P15" s="11" t="s">
        <v>13</v>
      </c>
      <c r="Q15" s="11" t="s">
        <v>54</v>
      </c>
      <c r="R15" s="11">
        <f>91-987650025</f>
        <v>-987649934</v>
      </c>
    </row>
    <row r="16" spans="1:18" x14ac:dyDescent="0.3">
      <c r="A16" s="11" t="s">
        <v>27</v>
      </c>
      <c r="B16" s="11">
        <v>1000000027</v>
      </c>
      <c r="C16" s="11">
        <v>56000</v>
      </c>
      <c r="D16" s="11" t="s">
        <v>28</v>
      </c>
      <c r="E16" s="11" t="s">
        <v>9</v>
      </c>
      <c r="F16" s="11" t="s">
        <v>55</v>
      </c>
      <c r="G16" s="11">
        <f>91-987650026</f>
        <v>-987649935</v>
      </c>
      <c r="H16" s="11"/>
      <c r="I16" s="11"/>
      <c r="J16" s="11"/>
      <c r="K16" s="11"/>
      <c r="L16" s="11" t="s">
        <v>30</v>
      </c>
      <c r="M16" s="11">
        <v>1000000028</v>
      </c>
      <c r="N16" s="11">
        <v>89000</v>
      </c>
      <c r="O16" s="11" t="s">
        <v>31</v>
      </c>
      <c r="P16" s="11" t="s">
        <v>13</v>
      </c>
      <c r="Q16" s="11" t="s">
        <v>56</v>
      </c>
      <c r="R16" s="11">
        <f>91-987650027</f>
        <v>-987649936</v>
      </c>
    </row>
    <row r="17" spans="1:18" x14ac:dyDescent="0.3">
      <c r="A17" s="11" t="s">
        <v>33</v>
      </c>
      <c r="B17" s="11">
        <v>1000000029</v>
      </c>
      <c r="C17" s="11">
        <v>46000</v>
      </c>
      <c r="D17" s="11" t="s">
        <v>34</v>
      </c>
      <c r="E17" s="11" t="s">
        <v>9</v>
      </c>
      <c r="F17" s="11" t="s">
        <v>57</v>
      </c>
      <c r="G17" s="11">
        <f>91-987650028</f>
        <v>-987649937</v>
      </c>
      <c r="H17" s="11"/>
      <c r="I17" s="11"/>
      <c r="J17" s="11"/>
      <c r="K17" s="11"/>
      <c r="L17" s="11" t="s">
        <v>36</v>
      </c>
      <c r="M17" s="11">
        <v>1000000030</v>
      </c>
      <c r="N17" s="11">
        <v>77000</v>
      </c>
      <c r="O17" s="11" t="s">
        <v>37</v>
      </c>
      <c r="P17" s="11" t="s">
        <v>13</v>
      </c>
      <c r="Q17" s="11" t="s">
        <v>58</v>
      </c>
      <c r="R17" s="11">
        <f>91-987650029</f>
        <v>-987649938</v>
      </c>
    </row>
    <row r="18" spans="1:18" x14ac:dyDescent="0.3">
      <c r="A18" s="11" t="s">
        <v>7</v>
      </c>
      <c r="B18" s="11">
        <v>1000000031</v>
      </c>
      <c r="C18" s="11">
        <v>50000</v>
      </c>
      <c r="D18" s="11" t="s">
        <v>8</v>
      </c>
      <c r="E18" s="11" t="s">
        <v>9</v>
      </c>
      <c r="F18" s="11" t="s">
        <v>59</v>
      </c>
      <c r="G18" s="11">
        <f>91-987650030</f>
        <v>-987649939</v>
      </c>
      <c r="H18" s="11"/>
      <c r="I18" s="11"/>
      <c r="J18" s="11"/>
      <c r="K18" s="11"/>
      <c r="L18" s="11" t="s">
        <v>11</v>
      </c>
      <c r="M18" s="11">
        <v>1000000032</v>
      </c>
      <c r="N18" s="11">
        <v>75000</v>
      </c>
      <c r="O18" s="11" t="s">
        <v>12</v>
      </c>
      <c r="P18" s="11" t="s">
        <v>13</v>
      </c>
      <c r="Q18" s="11" t="s">
        <v>60</v>
      </c>
      <c r="R18" s="11">
        <f>91-987650031</f>
        <v>-987649940</v>
      </c>
    </row>
    <row r="19" spans="1:18" x14ac:dyDescent="0.3">
      <c r="A19" s="11" t="s">
        <v>15</v>
      </c>
      <c r="B19" s="11">
        <v>1000000033</v>
      </c>
      <c r="C19" s="11">
        <v>120000</v>
      </c>
      <c r="D19" s="11" t="s">
        <v>16</v>
      </c>
      <c r="E19" s="11" t="s">
        <v>9</v>
      </c>
      <c r="F19" s="11" t="s">
        <v>61</v>
      </c>
      <c r="G19" s="11">
        <f>91-987650032</f>
        <v>-987649941</v>
      </c>
      <c r="H19" s="11"/>
      <c r="I19" s="11"/>
      <c r="J19" s="11"/>
      <c r="K19" s="11"/>
      <c r="L19" s="11" t="s">
        <v>18</v>
      </c>
      <c r="M19" s="11">
        <v>1000000034</v>
      </c>
      <c r="N19" s="11">
        <v>45000</v>
      </c>
      <c r="O19" s="11" t="s">
        <v>19</v>
      </c>
      <c r="P19" s="11" t="s">
        <v>13</v>
      </c>
      <c r="Q19" s="11" t="s">
        <v>62</v>
      </c>
      <c r="R19" s="11">
        <f>91-987650033</f>
        <v>-987649942</v>
      </c>
    </row>
    <row r="20" spans="1:18" x14ac:dyDescent="0.3">
      <c r="A20" s="11" t="s">
        <v>21</v>
      </c>
      <c r="B20" s="11">
        <v>1000000035</v>
      </c>
      <c r="C20" s="11">
        <v>98000</v>
      </c>
      <c r="D20" s="11" t="s">
        <v>22</v>
      </c>
      <c r="E20" s="11" t="s">
        <v>9</v>
      </c>
      <c r="F20" s="11" t="s">
        <v>63</v>
      </c>
      <c r="G20" s="11">
        <f>91-987650034</f>
        <v>-987649943</v>
      </c>
      <c r="H20" s="11"/>
      <c r="I20" s="11"/>
      <c r="J20" s="11"/>
      <c r="K20" s="11"/>
      <c r="L20" s="11" t="s">
        <v>24</v>
      </c>
      <c r="M20" s="11">
        <v>1000000036</v>
      </c>
      <c r="N20" s="11">
        <v>67000</v>
      </c>
      <c r="O20" s="11" t="s">
        <v>25</v>
      </c>
      <c r="P20" s="11" t="s">
        <v>13</v>
      </c>
      <c r="Q20" s="11" t="s">
        <v>64</v>
      </c>
      <c r="R20" s="11">
        <f>91-987650035</f>
        <v>-987649944</v>
      </c>
    </row>
    <row r="21" spans="1:18" x14ac:dyDescent="0.3">
      <c r="A21" s="11" t="s">
        <v>27</v>
      </c>
      <c r="B21" s="11">
        <v>1000000037</v>
      </c>
      <c r="C21" s="11">
        <v>56000</v>
      </c>
      <c r="D21" s="11" t="s">
        <v>28</v>
      </c>
      <c r="E21" s="11" t="s">
        <v>9</v>
      </c>
      <c r="F21" s="11" t="s">
        <v>65</v>
      </c>
      <c r="G21" s="11">
        <f>91-987650036</f>
        <v>-987649945</v>
      </c>
      <c r="H21" s="11"/>
      <c r="I21" s="11"/>
      <c r="J21" s="11"/>
      <c r="K21" s="11"/>
      <c r="L21" s="11" t="s">
        <v>30</v>
      </c>
      <c r="M21" s="11">
        <v>1000000038</v>
      </c>
      <c r="N21" s="11">
        <v>89000</v>
      </c>
      <c r="O21" s="11" t="s">
        <v>31</v>
      </c>
      <c r="P21" s="11" t="s">
        <v>13</v>
      </c>
      <c r="Q21" s="11" t="s">
        <v>66</v>
      </c>
      <c r="R21" s="11">
        <f>91-987650037</f>
        <v>-987649946</v>
      </c>
    </row>
    <row r="22" spans="1:18" x14ac:dyDescent="0.3">
      <c r="A22" s="11" t="s">
        <v>33</v>
      </c>
      <c r="B22" s="11">
        <v>1000000039</v>
      </c>
      <c r="C22" s="11">
        <v>46000</v>
      </c>
      <c r="D22" s="11" t="s">
        <v>34</v>
      </c>
      <c r="E22" s="11" t="s">
        <v>9</v>
      </c>
      <c r="F22" s="11" t="s">
        <v>67</v>
      </c>
      <c r="G22" s="11">
        <f>91-987650038</f>
        <v>-987649947</v>
      </c>
      <c r="H22" s="11"/>
      <c r="I22" s="11"/>
      <c r="J22" s="11"/>
      <c r="K22" s="11"/>
      <c r="L22" s="11" t="s">
        <v>36</v>
      </c>
      <c r="M22" s="11">
        <v>1000000040</v>
      </c>
      <c r="N22" s="11">
        <v>77000</v>
      </c>
      <c r="O22" s="11" t="s">
        <v>37</v>
      </c>
      <c r="P22" s="11" t="s">
        <v>13</v>
      </c>
      <c r="Q22" s="11" t="s">
        <v>68</v>
      </c>
      <c r="R22" s="11">
        <f>91-987650039</f>
        <v>-987649948</v>
      </c>
    </row>
    <row r="23" spans="1:18" x14ac:dyDescent="0.3">
      <c r="A23" s="11" t="s">
        <v>7</v>
      </c>
      <c r="B23" s="11">
        <v>1000000041</v>
      </c>
      <c r="C23" s="11">
        <v>50000</v>
      </c>
      <c r="D23" s="11" t="s">
        <v>8</v>
      </c>
      <c r="E23" s="11" t="s">
        <v>9</v>
      </c>
      <c r="F23" s="11" t="s">
        <v>69</v>
      </c>
      <c r="G23" s="11">
        <f>91-987650040</f>
        <v>-987649949</v>
      </c>
      <c r="H23" s="11"/>
      <c r="I23" s="11"/>
      <c r="J23" s="11"/>
      <c r="K23" s="11"/>
      <c r="L23" s="11" t="s">
        <v>11</v>
      </c>
      <c r="M23" s="11">
        <v>1000000042</v>
      </c>
      <c r="N23" s="11">
        <v>75000</v>
      </c>
      <c r="O23" s="11" t="s">
        <v>12</v>
      </c>
      <c r="P23" s="11" t="s">
        <v>13</v>
      </c>
      <c r="Q23" s="11" t="s">
        <v>70</v>
      </c>
      <c r="R23" s="11">
        <f>91-987650041</f>
        <v>-987649950</v>
      </c>
    </row>
    <row r="24" spans="1:18" x14ac:dyDescent="0.3">
      <c r="A24" s="11" t="s">
        <v>15</v>
      </c>
      <c r="B24" s="11">
        <v>1000000043</v>
      </c>
      <c r="C24" s="11">
        <v>120000</v>
      </c>
      <c r="D24" s="11" t="s">
        <v>16</v>
      </c>
      <c r="E24" s="11" t="s">
        <v>9</v>
      </c>
      <c r="F24" s="11" t="s">
        <v>71</v>
      </c>
      <c r="G24" s="11">
        <f>91-987650042</f>
        <v>-987649951</v>
      </c>
      <c r="H24" s="11"/>
      <c r="I24" s="11"/>
      <c r="J24" s="11"/>
      <c r="K24" s="11"/>
      <c r="L24" s="11" t="s">
        <v>18</v>
      </c>
      <c r="M24" s="11">
        <v>1000000044</v>
      </c>
      <c r="N24" s="11">
        <v>45000</v>
      </c>
      <c r="O24" s="11" t="s">
        <v>19</v>
      </c>
      <c r="P24" s="11" t="s">
        <v>13</v>
      </c>
      <c r="Q24" s="11" t="s">
        <v>72</v>
      </c>
      <c r="R24" s="11">
        <f>91-987650043</f>
        <v>-987649952</v>
      </c>
    </row>
    <row r="25" spans="1:18" x14ac:dyDescent="0.3">
      <c r="A25" s="11" t="s">
        <v>21</v>
      </c>
      <c r="B25" s="11">
        <v>1000000045</v>
      </c>
      <c r="C25" s="11">
        <v>98000</v>
      </c>
      <c r="D25" s="11" t="s">
        <v>22</v>
      </c>
      <c r="E25" s="11" t="s">
        <v>9</v>
      </c>
      <c r="F25" s="11" t="s">
        <v>73</v>
      </c>
      <c r="G25" s="11">
        <f>91-987650044</f>
        <v>-987649953</v>
      </c>
      <c r="H25" s="11"/>
      <c r="I25" s="11"/>
      <c r="J25" s="11"/>
      <c r="K25" s="11"/>
      <c r="L25" s="11" t="s">
        <v>24</v>
      </c>
      <c r="M25" s="11">
        <v>1000000046</v>
      </c>
      <c r="N25" s="11">
        <v>67000</v>
      </c>
      <c r="O25" s="11" t="s">
        <v>25</v>
      </c>
      <c r="P25" s="11" t="s">
        <v>13</v>
      </c>
      <c r="Q25" s="11" t="s">
        <v>74</v>
      </c>
      <c r="R25" s="11">
        <f>91-987650045</f>
        <v>-987649954</v>
      </c>
    </row>
    <row r="26" spans="1:18" x14ac:dyDescent="0.3">
      <c r="A26" s="11" t="s">
        <v>27</v>
      </c>
      <c r="B26" s="11">
        <v>1000000047</v>
      </c>
      <c r="C26" s="11">
        <v>56000</v>
      </c>
      <c r="D26" s="11" t="s">
        <v>28</v>
      </c>
      <c r="E26" s="11" t="s">
        <v>9</v>
      </c>
      <c r="F26" s="11" t="s">
        <v>75</v>
      </c>
      <c r="G26" s="11">
        <f>91-987650046</f>
        <v>-987649955</v>
      </c>
      <c r="H26" s="11"/>
      <c r="I26" s="11"/>
      <c r="J26" s="11"/>
      <c r="K26" s="11"/>
      <c r="L26" s="11" t="s">
        <v>30</v>
      </c>
      <c r="M26" s="11">
        <v>1000000048</v>
      </c>
      <c r="N26" s="11">
        <v>89000</v>
      </c>
      <c r="O26" s="11" t="s">
        <v>31</v>
      </c>
      <c r="P26" s="11" t="s">
        <v>13</v>
      </c>
      <c r="Q26" s="11" t="s">
        <v>76</v>
      </c>
      <c r="R26" s="11">
        <f>91-987650047</f>
        <v>-987649956</v>
      </c>
    </row>
    <row r="27" spans="1:18" x14ac:dyDescent="0.3">
      <c r="A27" s="11" t="s">
        <v>33</v>
      </c>
      <c r="B27" s="11">
        <v>1000000049</v>
      </c>
      <c r="C27" s="11">
        <v>46000</v>
      </c>
      <c r="D27" s="11" t="s">
        <v>34</v>
      </c>
      <c r="E27" s="11" t="s">
        <v>9</v>
      </c>
      <c r="F27" s="11" t="s">
        <v>77</v>
      </c>
      <c r="G27" s="11">
        <f>91-987650048</f>
        <v>-987649957</v>
      </c>
      <c r="H27" s="11"/>
      <c r="I27" s="11"/>
      <c r="J27" s="11"/>
      <c r="K27" s="11"/>
      <c r="L27" s="11" t="s">
        <v>36</v>
      </c>
      <c r="M27" s="11">
        <v>1000000050</v>
      </c>
      <c r="N27" s="11">
        <v>77000</v>
      </c>
      <c r="O27" s="11" t="s">
        <v>37</v>
      </c>
      <c r="P27" s="11" t="s">
        <v>13</v>
      </c>
      <c r="Q27" s="11" t="s">
        <v>78</v>
      </c>
      <c r="R27" s="11">
        <f>91-987650049</f>
        <v>-987649958</v>
      </c>
    </row>
    <row r="28" spans="1:18" x14ac:dyDescent="0.3">
      <c r="A28" s="11" t="s">
        <v>7</v>
      </c>
      <c r="B28" s="11">
        <v>1000000051</v>
      </c>
      <c r="C28" s="11">
        <v>50000</v>
      </c>
      <c r="D28" s="11" t="s">
        <v>8</v>
      </c>
      <c r="E28" s="11" t="s">
        <v>9</v>
      </c>
      <c r="F28" s="11" t="s">
        <v>79</v>
      </c>
      <c r="G28" s="11">
        <f>91-987650050</f>
        <v>-987649959</v>
      </c>
      <c r="H28" s="11"/>
      <c r="I28" s="11"/>
      <c r="J28" s="11"/>
      <c r="K28" s="11"/>
      <c r="L28" s="11" t="s">
        <v>11</v>
      </c>
      <c r="M28" s="11">
        <v>1000000052</v>
      </c>
      <c r="N28" s="11">
        <v>75000</v>
      </c>
      <c r="O28" s="11" t="s">
        <v>12</v>
      </c>
      <c r="P28" s="11" t="s">
        <v>13</v>
      </c>
      <c r="Q28" s="11" t="s">
        <v>80</v>
      </c>
      <c r="R28" s="11">
        <f>91-987650051</f>
        <v>-987649960</v>
      </c>
    </row>
    <row r="29" spans="1:18" x14ac:dyDescent="0.3">
      <c r="A29" s="11" t="s">
        <v>15</v>
      </c>
      <c r="B29" s="11">
        <v>1000000053</v>
      </c>
      <c r="C29" s="11">
        <v>120000</v>
      </c>
      <c r="D29" s="11" t="s">
        <v>16</v>
      </c>
      <c r="E29" s="11" t="s">
        <v>9</v>
      </c>
      <c r="F29" s="11" t="s">
        <v>81</v>
      </c>
      <c r="G29" s="11">
        <f>91-987650052</f>
        <v>-987649961</v>
      </c>
      <c r="H29" s="11"/>
      <c r="I29" s="11"/>
      <c r="J29" s="11"/>
      <c r="K29" s="11"/>
      <c r="L29" s="11" t="s">
        <v>18</v>
      </c>
      <c r="M29" s="11">
        <v>1000000054</v>
      </c>
      <c r="N29" s="11">
        <v>45000</v>
      </c>
      <c r="O29" s="11" t="s">
        <v>19</v>
      </c>
      <c r="P29" s="11" t="s">
        <v>13</v>
      </c>
      <c r="Q29" s="11" t="s">
        <v>82</v>
      </c>
      <c r="R29" s="11">
        <f>91-987650053</f>
        <v>-987649962</v>
      </c>
    </row>
    <row r="30" spans="1:18" x14ac:dyDescent="0.3">
      <c r="A30" s="11" t="s">
        <v>21</v>
      </c>
      <c r="B30" s="11">
        <v>1000000055</v>
      </c>
      <c r="C30" s="11">
        <v>98000</v>
      </c>
      <c r="D30" s="11" t="s">
        <v>22</v>
      </c>
      <c r="E30" s="11" t="s">
        <v>9</v>
      </c>
      <c r="F30" s="11" t="s">
        <v>83</v>
      </c>
      <c r="G30" s="11">
        <f>91-987650054</f>
        <v>-987649963</v>
      </c>
      <c r="H30" s="11"/>
      <c r="I30" s="11"/>
      <c r="J30" s="11"/>
      <c r="K30" s="11"/>
      <c r="L30" s="11" t="s">
        <v>24</v>
      </c>
      <c r="M30" s="11">
        <v>1000000056</v>
      </c>
      <c r="N30" s="11">
        <v>67000</v>
      </c>
      <c r="O30" s="11" t="s">
        <v>25</v>
      </c>
      <c r="P30" s="11" t="s">
        <v>13</v>
      </c>
      <c r="Q30" s="11" t="s">
        <v>84</v>
      </c>
      <c r="R30" s="11">
        <f>91-987650055</f>
        <v>-987649964</v>
      </c>
    </row>
    <row r="31" spans="1:18" x14ac:dyDescent="0.3">
      <c r="A31" s="11" t="s">
        <v>27</v>
      </c>
      <c r="B31" s="11">
        <v>1000000057</v>
      </c>
      <c r="C31" s="11">
        <v>56000</v>
      </c>
      <c r="D31" s="11" t="s">
        <v>28</v>
      </c>
      <c r="E31" s="11" t="s">
        <v>9</v>
      </c>
      <c r="F31" s="11" t="s">
        <v>85</v>
      </c>
      <c r="G31" s="11">
        <f>91-987650056</f>
        <v>-987649965</v>
      </c>
      <c r="H31" s="11"/>
      <c r="I31" s="11"/>
      <c r="J31" s="11"/>
      <c r="K31" s="11"/>
      <c r="L31" s="11" t="s">
        <v>30</v>
      </c>
      <c r="M31" s="11">
        <v>1000000058</v>
      </c>
      <c r="N31" s="11">
        <v>89000</v>
      </c>
      <c r="O31" s="11" t="s">
        <v>31</v>
      </c>
      <c r="P31" s="11" t="s">
        <v>13</v>
      </c>
      <c r="Q31" s="11" t="s">
        <v>86</v>
      </c>
      <c r="R31" s="11">
        <f>91-987650057</f>
        <v>-987649966</v>
      </c>
    </row>
    <row r="32" spans="1:18" x14ac:dyDescent="0.3">
      <c r="A32" s="11" t="s">
        <v>33</v>
      </c>
      <c r="B32" s="11">
        <v>1000000059</v>
      </c>
      <c r="C32" s="11">
        <v>46000</v>
      </c>
      <c r="D32" s="11" t="s">
        <v>34</v>
      </c>
      <c r="E32" s="11" t="s">
        <v>9</v>
      </c>
      <c r="F32" s="11" t="s">
        <v>87</v>
      </c>
      <c r="G32" s="11">
        <f>91-987650058</f>
        <v>-987649967</v>
      </c>
      <c r="H32" s="11"/>
      <c r="I32" s="11"/>
      <c r="J32" s="11"/>
      <c r="K32" s="11"/>
      <c r="L32" s="11" t="s">
        <v>36</v>
      </c>
      <c r="M32" s="11">
        <v>1000000060</v>
      </c>
      <c r="N32" s="11">
        <v>77000</v>
      </c>
      <c r="O32" s="11" t="s">
        <v>37</v>
      </c>
      <c r="P32" s="11" t="s">
        <v>13</v>
      </c>
      <c r="Q32" s="11" t="s">
        <v>88</v>
      </c>
      <c r="R32" s="11">
        <f>91-987650059</f>
        <v>-987649968</v>
      </c>
    </row>
    <row r="33" spans="1:18" x14ac:dyDescent="0.3">
      <c r="A33" s="11" t="s">
        <v>7</v>
      </c>
      <c r="B33" s="11">
        <v>1000000061</v>
      </c>
      <c r="C33" s="11">
        <v>50000</v>
      </c>
      <c r="D33" s="11" t="s">
        <v>8</v>
      </c>
      <c r="E33" s="11" t="s">
        <v>9</v>
      </c>
      <c r="F33" s="11" t="s">
        <v>89</v>
      </c>
      <c r="G33" s="11">
        <f>91-987650060</f>
        <v>-987649969</v>
      </c>
      <c r="H33" s="11"/>
      <c r="I33" s="11"/>
      <c r="J33" s="11"/>
      <c r="K33" s="11"/>
      <c r="L33" s="11" t="s">
        <v>11</v>
      </c>
      <c r="M33" s="11">
        <v>1000000062</v>
      </c>
      <c r="N33" s="11">
        <v>75000</v>
      </c>
      <c r="O33" s="11" t="s">
        <v>12</v>
      </c>
      <c r="P33" s="11" t="s">
        <v>13</v>
      </c>
      <c r="Q33" s="11" t="s">
        <v>90</v>
      </c>
      <c r="R33" s="11">
        <f>91-987650061</f>
        <v>-987649970</v>
      </c>
    </row>
    <row r="34" spans="1:18" x14ac:dyDescent="0.3">
      <c r="A34" s="11" t="s">
        <v>15</v>
      </c>
      <c r="B34" s="11">
        <v>1000000063</v>
      </c>
      <c r="C34" s="11">
        <v>120000</v>
      </c>
      <c r="D34" s="11" t="s">
        <v>16</v>
      </c>
      <c r="E34" s="11" t="s">
        <v>9</v>
      </c>
      <c r="F34" s="11" t="s">
        <v>91</v>
      </c>
      <c r="G34" s="11">
        <f>91-987650062</f>
        <v>-987649971</v>
      </c>
      <c r="H34" s="11"/>
      <c r="I34" s="11"/>
      <c r="J34" s="11"/>
      <c r="K34" s="11"/>
      <c r="L34" s="11" t="s">
        <v>18</v>
      </c>
      <c r="M34" s="11">
        <v>1000000064</v>
      </c>
      <c r="N34" s="11">
        <v>45000</v>
      </c>
      <c r="O34" s="11" t="s">
        <v>19</v>
      </c>
      <c r="P34" s="11" t="s">
        <v>13</v>
      </c>
      <c r="Q34" s="11" t="s">
        <v>92</v>
      </c>
      <c r="R34" s="11">
        <f>91-987650063</f>
        <v>-987649972</v>
      </c>
    </row>
    <row r="35" spans="1:18" x14ac:dyDescent="0.3">
      <c r="A35" s="11" t="s">
        <v>21</v>
      </c>
      <c r="B35" s="11">
        <v>1000000065</v>
      </c>
      <c r="C35" s="11">
        <v>98000</v>
      </c>
      <c r="D35" s="11" t="s">
        <v>22</v>
      </c>
      <c r="E35" s="11" t="s">
        <v>9</v>
      </c>
      <c r="F35" s="11" t="s">
        <v>93</v>
      </c>
      <c r="G35" s="11">
        <f>91-987650064</f>
        <v>-987649973</v>
      </c>
      <c r="H35" s="11"/>
      <c r="I35" s="11"/>
      <c r="J35" s="11"/>
      <c r="K35" s="11"/>
      <c r="L35" s="11" t="s">
        <v>24</v>
      </c>
      <c r="M35" s="11">
        <v>1000000066</v>
      </c>
      <c r="N35" s="11">
        <v>67000</v>
      </c>
      <c r="O35" s="11" t="s">
        <v>25</v>
      </c>
      <c r="P35" s="11" t="s">
        <v>13</v>
      </c>
      <c r="Q35" s="11" t="s">
        <v>94</v>
      </c>
      <c r="R35" s="11">
        <f>91-987650065</f>
        <v>-987649974</v>
      </c>
    </row>
    <row r="36" spans="1:18" x14ac:dyDescent="0.3">
      <c r="A36" s="11" t="s">
        <v>27</v>
      </c>
      <c r="B36" s="11">
        <v>1000000067</v>
      </c>
      <c r="C36" s="11">
        <v>56000</v>
      </c>
      <c r="D36" s="11" t="s">
        <v>28</v>
      </c>
      <c r="E36" s="11" t="s">
        <v>9</v>
      </c>
      <c r="F36" s="11" t="s">
        <v>95</v>
      </c>
      <c r="G36" s="11">
        <f>91-987650066</f>
        <v>-987649975</v>
      </c>
      <c r="H36" s="11"/>
      <c r="I36" s="11"/>
      <c r="J36" s="11"/>
      <c r="K36" s="11"/>
      <c r="L36" s="11" t="s">
        <v>30</v>
      </c>
      <c r="M36" s="11">
        <v>1000000068</v>
      </c>
      <c r="N36" s="11">
        <v>89000</v>
      </c>
      <c r="O36" s="11" t="s">
        <v>31</v>
      </c>
      <c r="P36" s="11" t="s">
        <v>13</v>
      </c>
      <c r="Q36" s="11" t="s">
        <v>96</v>
      </c>
      <c r="R36" s="11">
        <f>91-987650067</f>
        <v>-987649976</v>
      </c>
    </row>
    <row r="37" spans="1:18" x14ac:dyDescent="0.3">
      <c r="A37" s="11" t="s">
        <v>33</v>
      </c>
      <c r="B37" s="11">
        <v>1000000069</v>
      </c>
      <c r="C37" s="11">
        <v>46000</v>
      </c>
      <c r="D37" s="11" t="s">
        <v>34</v>
      </c>
      <c r="E37" s="11" t="s">
        <v>9</v>
      </c>
      <c r="F37" s="11" t="s">
        <v>97</v>
      </c>
      <c r="G37" s="11">
        <f>91-987650068</f>
        <v>-987649977</v>
      </c>
      <c r="H37" s="11"/>
      <c r="I37" s="11"/>
      <c r="J37" s="11"/>
      <c r="K37" s="11"/>
      <c r="L37" s="11" t="s">
        <v>36</v>
      </c>
      <c r="M37" s="11">
        <v>1000000070</v>
      </c>
      <c r="N37" s="11">
        <v>77000</v>
      </c>
      <c r="O37" s="11" t="s">
        <v>37</v>
      </c>
      <c r="P37" s="11" t="s">
        <v>13</v>
      </c>
      <c r="Q37" s="11" t="s">
        <v>98</v>
      </c>
      <c r="R37" s="11">
        <f>91-987650069</f>
        <v>-987649978</v>
      </c>
    </row>
    <row r="38" spans="1:18" x14ac:dyDescent="0.3">
      <c r="A38" s="11" t="s">
        <v>7</v>
      </c>
      <c r="B38" s="11">
        <v>1000000071</v>
      </c>
      <c r="C38" s="11">
        <v>50000</v>
      </c>
      <c r="D38" s="11" t="s">
        <v>8</v>
      </c>
      <c r="E38" s="11" t="s">
        <v>9</v>
      </c>
      <c r="F38" s="11" t="s">
        <v>99</v>
      </c>
      <c r="G38" s="11">
        <f>91-987650070</f>
        <v>-987649979</v>
      </c>
      <c r="H38" s="11"/>
      <c r="I38" s="11"/>
      <c r="J38" s="11"/>
      <c r="K38" s="11"/>
      <c r="L38" s="11" t="s">
        <v>11</v>
      </c>
      <c r="M38" s="11">
        <v>1000000072</v>
      </c>
      <c r="N38" s="11">
        <v>75000</v>
      </c>
      <c r="O38" s="11" t="s">
        <v>12</v>
      </c>
      <c r="P38" s="11" t="s">
        <v>13</v>
      </c>
      <c r="Q38" s="11" t="s">
        <v>100</v>
      </c>
      <c r="R38" s="11">
        <f>91-987650071</f>
        <v>-987649980</v>
      </c>
    </row>
    <row r="39" spans="1:18" x14ac:dyDescent="0.3">
      <c r="A39" s="11" t="s">
        <v>15</v>
      </c>
      <c r="B39" s="11">
        <v>1000000073</v>
      </c>
      <c r="C39" s="11">
        <v>120000</v>
      </c>
      <c r="D39" s="11" t="s">
        <v>16</v>
      </c>
      <c r="E39" s="11" t="s">
        <v>9</v>
      </c>
      <c r="F39" s="11" t="s">
        <v>101</v>
      </c>
      <c r="G39" s="11">
        <f>91-987650072</f>
        <v>-987649981</v>
      </c>
      <c r="H39" s="11"/>
      <c r="I39" s="11"/>
      <c r="J39" s="11"/>
      <c r="K39" s="11"/>
      <c r="L39" s="11" t="s">
        <v>18</v>
      </c>
      <c r="M39" s="11">
        <v>1000000074</v>
      </c>
      <c r="N39" s="11">
        <v>45000</v>
      </c>
      <c r="O39" s="11" t="s">
        <v>19</v>
      </c>
      <c r="P39" s="11" t="s">
        <v>13</v>
      </c>
      <c r="Q39" s="11" t="s">
        <v>102</v>
      </c>
      <c r="R39" s="11">
        <f>91-987650073</f>
        <v>-987649982</v>
      </c>
    </row>
    <row r="40" spans="1:18" x14ac:dyDescent="0.3">
      <c r="A40" s="11" t="s">
        <v>21</v>
      </c>
      <c r="B40" s="11">
        <v>1000000075</v>
      </c>
      <c r="C40" s="11">
        <v>98000</v>
      </c>
      <c r="D40" s="11" t="s">
        <v>22</v>
      </c>
      <c r="E40" s="11" t="s">
        <v>9</v>
      </c>
      <c r="F40" s="11" t="s">
        <v>103</v>
      </c>
      <c r="G40" s="11">
        <f>91-987650074</f>
        <v>-987649983</v>
      </c>
      <c r="H40" s="11"/>
      <c r="I40" s="11"/>
      <c r="J40" s="11"/>
      <c r="K40" s="11"/>
      <c r="L40" s="11" t="s">
        <v>24</v>
      </c>
      <c r="M40" s="11">
        <v>1000000076</v>
      </c>
      <c r="N40" s="11">
        <v>67000</v>
      </c>
      <c r="O40" s="11" t="s">
        <v>25</v>
      </c>
      <c r="P40" s="11" t="s">
        <v>13</v>
      </c>
      <c r="Q40" s="11" t="s">
        <v>104</v>
      </c>
      <c r="R40" s="11">
        <f>91-987650075</f>
        <v>-987649984</v>
      </c>
    </row>
    <row r="41" spans="1:18" x14ac:dyDescent="0.3">
      <c r="A41" s="11" t="s">
        <v>27</v>
      </c>
      <c r="B41" s="11">
        <v>1000000077</v>
      </c>
      <c r="C41" s="11">
        <v>56000</v>
      </c>
      <c r="D41" s="11" t="s">
        <v>28</v>
      </c>
      <c r="E41" s="11" t="s">
        <v>9</v>
      </c>
      <c r="F41" s="11" t="s">
        <v>105</v>
      </c>
      <c r="G41" s="11">
        <f>91-987650076</f>
        <v>-987649985</v>
      </c>
      <c r="H41" s="11"/>
      <c r="I41" s="11"/>
      <c r="J41" s="11"/>
      <c r="K41" s="11"/>
      <c r="L41" s="11" t="s">
        <v>30</v>
      </c>
      <c r="M41" s="11">
        <v>1000000078</v>
      </c>
      <c r="N41" s="11">
        <v>89000</v>
      </c>
      <c r="O41" s="11" t="s">
        <v>31</v>
      </c>
      <c r="P41" s="11" t="s">
        <v>13</v>
      </c>
      <c r="Q41" s="11" t="s">
        <v>106</v>
      </c>
      <c r="R41" s="11">
        <f>91-987650077</f>
        <v>-987649986</v>
      </c>
    </row>
    <row r="42" spans="1:18" x14ac:dyDescent="0.3">
      <c r="A42" s="11" t="s">
        <v>33</v>
      </c>
      <c r="B42" s="11">
        <v>1000000079</v>
      </c>
      <c r="C42" s="11">
        <v>46000</v>
      </c>
      <c r="D42" s="11" t="s">
        <v>34</v>
      </c>
      <c r="E42" s="11" t="s">
        <v>9</v>
      </c>
      <c r="F42" s="11" t="s">
        <v>107</v>
      </c>
      <c r="G42" s="11">
        <f>91-987650078</f>
        <v>-987649987</v>
      </c>
      <c r="H42" s="11"/>
      <c r="I42" s="11"/>
      <c r="J42" s="11"/>
      <c r="K42" s="11"/>
      <c r="L42" s="11" t="s">
        <v>36</v>
      </c>
      <c r="M42" s="11">
        <v>1000000080</v>
      </c>
      <c r="N42" s="11">
        <v>77000</v>
      </c>
      <c r="O42" s="11" t="s">
        <v>37</v>
      </c>
      <c r="P42" s="11" t="s">
        <v>13</v>
      </c>
      <c r="Q42" s="11" t="s">
        <v>108</v>
      </c>
      <c r="R42" s="11">
        <f>91-987650079</f>
        <v>-987649988</v>
      </c>
    </row>
    <row r="43" spans="1:18" x14ac:dyDescent="0.3">
      <c r="A43" s="11" t="s">
        <v>7</v>
      </c>
      <c r="B43" s="11">
        <v>1000000081</v>
      </c>
      <c r="C43" s="11">
        <v>50000</v>
      </c>
      <c r="D43" s="11" t="s">
        <v>8</v>
      </c>
      <c r="E43" s="11" t="s">
        <v>9</v>
      </c>
      <c r="F43" s="11" t="s">
        <v>109</v>
      </c>
      <c r="G43" s="11">
        <f>91-987650080</f>
        <v>-987649989</v>
      </c>
      <c r="H43" s="11"/>
      <c r="I43" s="11"/>
      <c r="J43" s="11"/>
      <c r="K43" s="11"/>
      <c r="L43" s="11" t="s">
        <v>11</v>
      </c>
      <c r="M43" s="11">
        <v>1000000082</v>
      </c>
      <c r="N43" s="11">
        <v>75000</v>
      </c>
      <c r="O43" s="11" t="s">
        <v>12</v>
      </c>
      <c r="P43" s="11" t="s">
        <v>13</v>
      </c>
      <c r="Q43" s="11" t="s">
        <v>110</v>
      </c>
      <c r="R43" s="11">
        <f>91-987650081</f>
        <v>-987649990</v>
      </c>
    </row>
    <row r="44" spans="1:18" x14ac:dyDescent="0.3">
      <c r="A44" s="11" t="s">
        <v>15</v>
      </c>
      <c r="B44" s="11">
        <v>1000000083</v>
      </c>
      <c r="C44" s="11">
        <v>120000</v>
      </c>
      <c r="D44" s="11" t="s">
        <v>16</v>
      </c>
      <c r="E44" s="11" t="s">
        <v>9</v>
      </c>
      <c r="F44" s="11" t="s">
        <v>111</v>
      </c>
      <c r="G44" s="11">
        <f>91-987650082</f>
        <v>-987649991</v>
      </c>
      <c r="H44" s="11"/>
      <c r="I44" s="11"/>
      <c r="J44" s="11"/>
      <c r="K44" s="11"/>
      <c r="L44" s="11" t="s">
        <v>18</v>
      </c>
      <c r="M44" s="11">
        <v>1000000084</v>
      </c>
      <c r="N44" s="11">
        <v>45000</v>
      </c>
      <c r="O44" s="11" t="s">
        <v>19</v>
      </c>
      <c r="P44" s="11" t="s">
        <v>13</v>
      </c>
      <c r="Q44" s="11" t="s">
        <v>112</v>
      </c>
      <c r="R44" s="11">
        <f>91-987650083</f>
        <v>-987649992</v>
      </c>
    </row>
    <row r="45" spans="1:18" x14ac:dyDescent="0.3">
      <c r="A45" s="11" t="s">
        <v>21</v>
      </c>
      <c r="B45" s="11">
        <v>1000000085</v>
      </c>
      <c r="C45" s="11">
        <v>98000</v>
      </c>
      <c r="D45" s="11" t="s">
        <v>22</v>
      </c>
      <c r="E45" s="11" t="s">
        <v>9</v>
      </c>
      <c r="F45" s="11" t="s">
        <v>113</v>
      </c>
      <c r="G45" s="11">
        <f>91-987650084</f>
        <v>-987649993</v>
      </c>
      <c r="H45" s="11"/>
      <c r="I45" s="11"/>
      <c r="J45" s="11"/>
      <c r="K45" s="11"/>
      <c r="L45" s="11" t="s">
        <v>24</v>
      </c>
      <c r="M45" s="11">
        <v>1000000086</v>
      </c>
      <c r="N45" s="11">
        <v>67000</v>
      </c>
      <c r="O45" s="11" t="s">
        <v>25</v>
      </c>
      <c r="P45" s="11" t="s">
        <v>13</v>
      </c>
      <c r="Q45" s="11" t="s">
        <v>114</v>
      </c>
      <c r="R45" s="11">
        <f>91-987650085</f>
        <v>-987649994</v>
      </c>
    </row>
    <row r="46" spans="1:18" x14ac:dyDescent="0.3">
      <c r="A46" s="11" t="s">
        <v>27</v>
      </c>
      <c r="B46" s="11">
        <v>1000000087</v>
      </c>
      <c r="C46" s="11">
        <v>56000</v>
      </c>
      <c r="D46" s="11" t="s">
        <v>28</v>
      </c>
      <c r="E46" s="11" t="s">
        <v>9</v>
      </c>
      <c r="F46" s="11" t="s">
        <v>115</v>
      </c>
      <c r="G46" s="11">
        <f>91-987650086</f>
        <v>-987649995</v>
      </c>
      <c r="H46" s="11"/>
      <c r="I46" s="11"/>
      <c r="J46" s="11"/>
      <c r="K46" s="11"/>
      <c r="L46" s="11" t="s">
        <v>30</v>
      </c>
      <c r="M46" s="11">
        <v>1000000088</v>
      </c>
      <c r="N46" s="11">
        <v>89000</v>
      </c>
      <c r="O46" s="11" t="s">
        <v>31</v>
      </c>
      <c r="P46" s="11" t="s">
        <v>13</v>
      </c>
      <c r="Q46" s="11" t="s">
        <v>116</v>
      </c>
      <c r="R46" s="11">
        <f>91-987650087</f>
        <v>-987649996</v>
      </c>
    </row>
    <row r="47" spans="1:18" x14ac:dyDescent="0.3">
      <c r="A47" s="11" t="s">
        <v>33</v>
      </c>
      <c r="B47" s="11">
        <v>1000000089</v>
      </c>
      <c r="C47" s="11">
        <v>46000</v>
      </c>
      <c r="D47" s="11" t="s">
        <v>34</v>
      </c>
      <c r="E47" s="11" t="s">
        <v>9</v>
      </c>
      <c r="F47" s="11" t="s">
        <v>117</v>
      </c>
      <c r="G47" s="11">
        <f>91-987650088</f>
        <v>-987649997</v>
      </c>
      <c r="H47" s="11"/>
      <c r="I47" s="11"/>
      <c r="J47" s="11"/>
      <c r="K47" s="11"/>
      <c r="L47" s="11" t="s">
        <v>36</v>
      </c>
      <c r="M47" s="11">
        <v>1000000090</v>
      </c>
      <c r="N47" s="11">
        <v>77000</v>
      </c>
      <c r="O47" s="11" t="s">
        <v>37</v>
      </c>
      <c r="P47" s="11" t="s">
        <v>13</v>
      </c>
      <c r="Q47" s="11" t="s">
        <v>118</v>
      </c>
      <c r="R47" s="11">
        <f>91-987650089</f>
        <v>-987649998</v>
      </c>
    </row>
    <row r="48" spans="1:18" x14ac:dyDescent="0.3">
      <c r="A48" s="11" t="s">
        <v>7</v>
      </c>
      <c r="B48" s="11">
        <v>1000000091</v>
      </c>
      <c r="C48" s="11">
        <v>50000</v>
      </c>
      <c r="D48" s="11" t="s">
        <v>8</v>
      </c>
      <c r="E48" s="11" t="s">
        <v>9</v>
      </c>
      <c r="F48" s="11" t="s">
        <v>119</v>
      </c>
      <c r="G48" s="11">
        <f>91-987650090</f>
        <v>-987649999</v>
      </c>
      <c r="H48" s="11"/>
      <c r="I48" s="11"/>
      <c r="J48" s="11"/>
      <c r="K48" s="11"/>
      <c r="L48" s="11" t="s">
        <v>11</v>
      </c>
      <c r="M48" s="11">
        <v>1000000092</v>
      </c>
      <c r="N48" s="11">
        <v>75000</v>
      </c>
      <c r="O48" s="11" t="s">
        <v>12</v>
      </c>
      <c r="P48" s="11" t="s">
        <v>13</v>
      </c>
      <c r="Q48" s="11" t="s">
        <v>120</v>
      </c>
      <c r="R48" s="11">
        <f>91-987650091</f>
        <v>-987650000</v>
      </c>
    </row>
    <row r="49" spans="1:18" x14ac:dyDescent="0.3">
      <c r="A49" s="11" t="s">
        <v>15</v>
      </c>
      <c r="B49" s="11">
        <v>1000000093</v>
      </c>
      <c r="C49" s="11">
        <v>120000</v>
      </c>
      <c r="D49" s="11" t="s">
        <v>16</v>
      </c>
      <c r="E49" s="11" t="s">
        <v>9</v>
      </c>
      <c r="F49" s="11" t="s">
        <v>121</v>
      </c>
      <c r="G49" s="11">
        <f>91-987650092</f>
        <v>-987650001</v>
      </c>
      <c r="H49" s="11"/>
      <c r="I49" s="11"/>
      <c r="J49" s="11"/>
      <c r="K49" s="11"/>
      <c r="L49" s="11" t="s">
        <v>18</v>
      </c>
      <c r="M49" s="11">
        <v>1000000094</v>
      </c>
      <c r="N49" s="11">
        <v>45000</v>
      </c>
      <c r="O49" s="11" t="s">
        <v>19</v>
      </c>
      <c r="P49" s="11" t="s">
        <v>13</v>
      </c>
      <c r="Q49" s="11" t="s">
        <v>122</v>
      </c>
      <c r="R49" s="11">
        <f>91-987650093</f>
        <v>-987650002</v>
      </c>
    </row>
    <row r="50" spans="1:18" x14ac:dyDescent="0.3">
      <c r="A50" s="11" t="s">
        <v>21</v>
      </c>
      <c r="B50" s="11">
        <v>1000000095</v>
      </c>
      <c r="C50" s="11">
        <v>98000</v>
      </c>
      <c r="D50" s="11" t="s">
        <v>22</v>
      </c>
      <c r="E50" s="11" t="s">
        <v>9</v>
      </c>
      <c r="F50" s="11" t="s">
        <v>123</v>
      </c>
      <c r="G50" s="11">
        <f>91-987650094</f>
        <v>-987650003</v>
      </c>
      <c r="H50" s="11"/>
      <c r="I50" s="11"/>
      <c r="J50" s="11"/>
      <c r="K50" s="11"/>
      <c r="L50" s="11" t="s">
        <v>24</v>
      </c>
      <c r="M50" s="11">
        <v>1000000096</v>
      </c>
      <c r="N50" s="11">
        <v>67000</v>
      </c>
      <c r="O50" s="11" t="s">
        <v>25</v>
      </c>
      <c r="P50" s="11" t="s">
        <v>13</v>
      </c>
      <c r="Q50" s="11" t="s">
        <v>124</v>
      </c>
      <c r="R50" s="11">
        <f>91-987650095</f>
        <v>-987650004</v>
      </c>
    </row>
    <row r="51" spans="1:18" x14ac:dyDescent="0.3">
      <c r="A51" s="11" t="s">
        <v>27</v>
      </c>
      <c r="B51" s="11">
        <v>1000000097</v>
      </c>
      <c r="C51" s="11">
        <v>56000</v>
      </c>
      <c r="D51" s="11" t="s">
        <v>28</v>
      </c>
      <c r="E51" s="11" t="s">
        <v>9</v>
      </c>
      <c r="F51" s="11" t="s">
        <v>125</v>
      </c>
      <c r="G51" s="11">
        <f>91-987650096</f>
        <v>-987650005</v>
      </c>
      <c r="H51" s="11"/>
      <c r="I51" s="11"/>
      <c r="J51" s="11"/>
      <c r="K51" s="11"/>
      <c r="L51" s="11" t="s">
        <v>30</v>
      </c>
      <c r="M51" s="11">
        <v>1000000098</v>
      </c>
      <c r="N51" s="11">
        <v>89000</v>
      </c>
      <c r="O51" s="11" t="s">
        <v>31</v>
      </c>
      <c r="P51" s="11" t="s">
        <v>13</v>
      </c>
      <c r="Q51" s="11" t="s">
        <v>126</v>
      </c>
      <c r="R51" s="11">
        <f>91-987650097</f>
        <v>-987650006</v>
      </c>
    </row>
    <row r="52" spans="1:18" x14ac:dyDescent="0.3">
      <c r="A52" s="11" t="s">
        <v>33</v>
      </c>
      <c r="B52" s="11">
        <v>1000000099</v>
      </c>
      <c r="C52" s="11">
        <v>46000</v>
      </c>
      <c r="D52" s="11" t="s">
        <v>34</v>
      </c>
      <c r="E52" s="11" t="s">
        <v>9</v>
      </c>
      <c r="F52" s="11" t="s">
        <v>127</v>
      </c>
      <c r="G52" s="11">
        <f>91-987650098</f>
        <v>-987650007</v>
      </c>
      <c r="H52" s="11"/>
      <c r="I52" s="11"/>
      <c r="J52" s="11"/>
      <c r="K52" s="11"/>
      <c r="L52" s="11" t="s">
        <v>36</v>
      </c>
      <c r="M52" s="11">
        <v>1000000100</v>
      </c>
      <c r="N52" s="11">
        <v>77000</v>
      </c>
      <c r="O52" s="11" t="s">
        <v>37</v>
      </c>
      <c r="P52" s="11" t="s">
        <v>13</v>
      </c>
      <c r="Q52" s="11" t="s">
        <v>128</v>
      </c>
      <c r="R52" s="11">
        <f>91-987650099</f>
        <v>-987650008</v>
      </c>
    </row>
    <row r="53" spans="1:18" x14ac:dyDescent="0.3">
      <c r="A53" s="11" t="s">
        <v>7</v>
      </c>
      <c r="B53" s="11">
        <v>1000000101</v>
      </c>
      <c r="C53" s="11">
        <v>50000</v>
      </c>
      <c r="D53" s="11" t="s">
        <v>8</v>
      </c>
      <c r="E53" s="11" t="s">
        <v>9</v>
      </c>
      <c r="F53" s="11" t="s">
        <v>129</v>
      </c>
      <c r="G53" s="11">
        <f>91-987650100</f>
        <v>-987650009</v>
      </c>
      <c r="H53" s="11"/>
      <c r="I53" s="11"/>
      <c r="J53" s="11"/>
      <c r="K53" s="11"/>
      <c r="L53" s="11" t="s">
        <v>11</v>
      </c>
      <c r="M53" s="11">
        <v>1000000102</v>
      </c>
      <c r="N53" s="11">
        <v>75000</v>
      </c>
      <c r="O53" s="11" t="s">
        <v>12</v>
      </c>
      <c r="P53" s="11" t="s">
        <v>13</v>
      </c>
      <c r="Q53" s="11" t="s">
        <v>130</v>
      </c>
      <c r="R53" s="11">
        <f>91-987650101</f>
        <v>-987650010</v>
      </c>
    </row>
    <row r="54" spans="1:18" x14ac:dyDescent="0.3">
      <c r="A54" s="11" t="s">
        <v>15</v>
      </c>
      <c r="B54" s="11">
        <v>1000000103</v>
      </c>
      <c r="C54" s="11">
        <v>120000</v>
      </c>
      <c r="D54" s="11" t="s">
        <v>16</v>
      </c>
      <c r="E54" s="11" t="s">
        <v>9</v>
      </c>
      <c r="F54" s="11" t="s">
        <v>131</v>
      </c>
      <c r="G54" s="11">
        <f>91-987650102</f>
        <v>-987650011</v>
      </c>
      <c r="H54" s="11"/>
      <c r="I54" s="11"/>
      <c r="J54" s="11"/>
      <c r="K54" s="11"/>
      <c r="L54" s="11" t="s">
        <v>18</v>
      </c>
      <c r="M54" s="11">
        <v>1000000104</v>
      </c>
      <c r="N54" s="11">
        <v>45000</v>
      </c>
      <c r="O54" s="11" t="s">
        <v>19</v>
      </c>
      <c r="P54" s="11" t="s">
        <v>13</v>
      </c>
      <c r="Q54" s="11" t="s">
        <v>132</v>
      </c>
      <c r="R54" s="11">
        <f>91-987650103</f>
        <v>-987650012</v>
      </c>
    </row>
    <row r="55" spans="1:18" x14ac:dyDescent="0.3">
      <c r="A55" s="11" t="s">
        <v>21</v>
      </c>
      <c r="B55" s="11">
        <v>1000000105</v>
      </c>
      <c r="C55" s="11">
        <v>98000</v>
      </c>
      <c r="D55" s="11" t="s">
        <v>22</v>
      </c>
      <c r="E55" s="11" t="s">
        <v>9</v>
      </c>
      <c r="F55" s="11" t="s">
        <v>133</v>
      </c>
      <c r="G55" s="11">
        <f>91-987650104</f>
        <v>-987650013</v>
      </c>
      <c r="H55" s="11"/>
      <c r="I55" s="11"/>
      <c r="J55" s="11"/>
      <c r="K55" s="11"/>
      <c r="L55" s="11" t="s">
        <v>24</v>
      </c>
      <c r="M55" s="11">
        <v>1000000106</v>
      </c>
      <c r="N55" s="11">
        <v>67000</v>
      </c>
      <c r="O55" s="11" t="s">
        <v>25</v>
      </c>
      <c r="P55" s="11" t="s">
        <v>13</v>
      </c>
      <c r="Q55" s="11" t="s">
        <v>134</v>
      </c>
      <c r="R55" s="11">
        <f>91-987650105</f>
        <v>-987650014</v>
      </c>
    </row>
    <row r="56" spans="1:18" x14ac:dyDescent="0.3">
      <c r="A56" s="11" t="s">
        <v>27</v>
      </c>
      <c r="B56" s="11">
        <v>1000000107</v>
      </c>
      <c r="C56" s="11">
        <v>56000</v>
      </c>
      <c r="D56" s="11" t="s">
        <v>28</v>
      </c>
      <c r="E56" s="11" t="s">
        <v>9</v>
      </c>
      <c r="F56" s="11" t="s">
        <v>135</v>
      </c>
      <c r="G56" s="11">
        <f>91-987650106</f>
        <v>-987650015</v>
      </c>
      <c r="H56" s="11"/>
      <c r="I56" s="11"/>
      <c r="J56" s="11"/>
      <c r="K56" s="11"/>
      <c r="L56" s="11" t="s">
        <v>30</v>
      </c>
      <c r="M56" s="11">
        <v>1000000108</v>
      </c>
      <c r="N56" s="11">
        <v>89000</v>
      </c>
      <c r="O56" s="11" t="s">
        <v>31</v>
      </c>
      <c r="P56" s="11" t="s">
        <v>13</v>
      </c>
      <c r="Q56" s="11" t="s">
        <v>136</v>
      </c>
      <c r="R56" s="11">
        <f>91-987650107</f>
        <v>-987650016</v>
      </c>
    </row>
    <row r="57" spans="1:18" x14ac:dyDescent="0.3">
      <c r="A57" s="11" t="s">
        <v>33</v>
      </c>
      <c r="B57" s="11">
        <v>1000000109</v>
      </c>
      <c r="C57" s="11">
        <v>46000</v>
      </c>
      <c r="D57" s="11" t="s">
        <v>34</v>
      </c>
      <c r="E57" s="11" t="s">
        <v>9</v>
      </c>
      <c r="F57" s="11" t="s">
        <v>137</v>
      </c>
      <c r="G57" s="11">
        <f>91-987650108</f>
        <v>-987650017</v>
      </c>
      <c r="H57" s="11"/>
      <c r="I57" s="11"/>
      <c r="J57" s="11"/>
      <c r="K57" s="11"/>
      <c r="L57" s="11" t="s">
        <v>36</v>
      </c>
      <c r="M57" s="11">
        <v>1000000110</v>
      </c>
      <c r="N57" s="11">
        <v>77000</v>
      </c>
      <c r="O57" s="11" t="s">
        <v>37</v>
      </c>
      <c r="P57" s="11" t="s">
        <v>13</v>
      </c>
      <c r="Q57" s="11" t="s">
        <v>138</v>
      </c>
      <c r="R57" s="11">
        <f>91-987650109</f>
        <v>-987650018</v>
      </c>
    </row>
    <row r="58" spans="1:18" x14ac:dyDescent="0.3">
      <c r="A58" s="11" t="s">
        <v>7</v>
      </c>
      <c r="B58" s="11">
        <v>1000000111</v>
      </c>
      <c r="C58" s="11">
        <v>50000</v>
      </c>
      <c r="D58" s="11" t="s">
        <v>8</v>
      </c>
      <c r="E58" s="11" t="s">
        <v>9</v>
      </c>
      <c r="F58" s="11" t="s">
        <v>139</v>
      </c>
      <c r="G58" s="11">
        <f>91-987650110</f>
        <v>-987650019</v>
      </c>
      <c r="H58" s="11"/>
      <c r="I58" s="11"/>
      <c r="J58" s="11"/>
      <c r="K58" s="11"/>
      <c r="L58" s="11" t="s">
        <v>11</v>
      </c>
      <c r="M58" s="11">
        <v>1000000112</v>
      </c>
      <c r="N58" s="11">
        <v>75000</v>
      </c>
      <c r="O58" s="11" t="s">
        <v>12</v>
      </c>
      <c r="P58" s="11" t="s">
        <v>13</v>
      </c>
      <c r="Q58" s="11" t="s">
        <v>140</v>
      </c>
      <c r="R58" s="11">
        <f>91-987650111</f>
        <v>-987650020</v>
      </c>
    </row>
    <row r="59" spans="1:18" x14ac:dyDescent="0.3">
      <c r="A59" s="11" t="s">
        <v>15</v>
      </c>
      <c r="B59" s="11">
        <v>1000000113</v>
      </c>
      <c r="C59" s="11">
        <v>120000</v>
      </c>
      <c r="D59" s="11" t="s">
        <v>16</v>
      </c>
      <c r="E59" s="11" t="s">
        <v>9</v>
      </c>
      <c r="F59" s="11" t="s">
        <v>141</v>
      </c>
      <c r="G59" s="11">
        <f>91-987650112</f>
        <v>-987650021</v>
      </c>
      <c r="H59" s="11"/>
      <c r="I59" s="11"/>
      <c r="J59" s="11"/>
      <c r="K59" s="11"/>
      <c r="L59" s="11" t="s">
        <v>18</v>
      </c>
      <c r="M59" s="11">
        <v>1000000114</v>
      </c>
      <c r="N59" s="11">
        <v>45000</v>
      </c>
      <c r="O59" s="11" t="s">
        <v>19</v>
      </c>
      <c r="P59" s="11" t="s">
        <v>13</v>
      </c>
      <c r="Q59" s="11" t="s">
        <v>142</v>
      </c>
      <c r="R59" s="11">
        <f>91-987650113</f>
        <v>-987650022</v>
      </c>
    </row>
    <row r="60" spans="1:18" x14ac:dyDescent="0.3">
      <c r="A60" s="11" t="s">
        <v>21</v>
      </c>
      <c r="B60" s="11">
        <v>1000000115</v>
      </c>
      <c r="C60" s="11">
        <v>98000</v>
      </c>
      <c r="D60" s="11" t="s">
        <v>22</v>
      </c>
      <c r="E60" s="11" t="s">
        <v>9</v>
      </c>
      <c r="F60" s="11" t="s">
        <v>143</v>
      </c>
      <c r="G60" s="11">
        <f>91-987650114</f>
        <v>-987650023</v>
      </c>
      <c r="H60" s="11"/>
      <c r="I60" s="11"/>
      <c r="J60" s="11"/>
      <c r="K60" s="11"/>
      <c r="L60" s="11" t="s">
        <v>24</v>
      </c>
      <c r="M60" s="11">
        <v>1000000116</v>
      </c>
      <c r="N60" s="11">
        <v>67000</v>
      </c>
      <c r="O60" s="11" t="s">
        <v>25</v>
      </c>
      <c r="P60" s="11" t="s">
        <v>13</v>
      </c>
      <c r="Q60" s="11" t="s">
        <v>144</v>
      </c>
      <c r="R60" s="11">
        <f>91-987650115</f>
        <v>-987650024</v>
      </c>
    </row>
    <row r="61" spans="1:18" x14ac:dyDescent="0.3">
      <c r="A61" s="11" t="s">
        <v>27</v>
      </c>
      <c r="B61" s="11">
        <v>1000000117</v>
      </c>
      <c r="C61" s="11">
        <v>56000</v>
      </c>
      <c r="D61" s="11" t="s">
        <v>28</v>
      </c>
      <c r="E61" s="11" t="s">
        <v>9</v>
      </c>
      <c r="F61" s="11" t="s">
        <v>145</v>
      </c>
      <c r="G61" s="11">
        <f>91-987650116</f>
        <v>-987650025</v>
      </c>
      <c r="H61" s="11"/>
      <c r="I61" s="11"/>
      <c r="J61" s="11"/>
      <c r="K61" s="11"/>
      <c r="L61" s="11" t="s">
        <v>30</v>
      </c>
      <c r="M61" s="11">
        <v>1000000118</v>
      </c>
      <c r="N61" s="11">
        <v>89000</v>
      </c>
      <c r="O61" s="11" t="s">
        <v>31</v>
      </c>
      <c r="P61" s="11" t="s">
        <v>13</v>
      </c>
      <c r="Q61" s="11" t="s">
        <v>146</v>
      </c>
      <c r="R61" s="11">
        <f>91-987650117</f>
        <v>-987650026</v>
      </c>
    </row>
    <row r="62" spans="1:18" x14ac:dyDescent="0.3">
      <c r="A62" s="11" t="s">
        <v>33</v>
      </c>
      <c r="B62" s="11">
        <v>1000000119</v>
      </c>
      <c r="C62" s="11">
        <v>46000</v>
      </c>
      <c r="D62" s="11" t="s">
        <v>34</v>
      </c>
      <c r="E62" s="11" t="s">
        <v>9</v>
      </c>
      <c r="F62" s="11" t="s">
        <v>147</v>
      </c>
      <c r="G62" s="11">
        <f>91-987650118</f>
        <v>-987650027</v>
      </c>
      <c r="H62" s="11"/>
      <c r="I62" s="11"/>
      <c r="J62" s="11"/>
      <c r="K62" s="11"/>
      <c r="L62" s="11" t="s">
        <v>36</v>
      </c>
      <c r="M62" s="11">
        <v>1000000120</v>
      </c>
      <c r="N62" s="11">
        <v>77000</v>
      </c>
      <c r="O62" s="11" t="s">
        <v>37</v>
      </c>
      <c r="P62" s="11" t="s">
        <v>13</v>
      </c>
      <c r="Q62" s="11" t="s">
        <v>148</v>
      </c>
      <c r="R62" s="11">
        <f>91-987650119</f>
        <v>-987650028</v>
      </c>
    </row>
    <row r="63" spans="1:18" x14ac:dyDescent="0.3">
      <c r="A63" s="11" t="s">
        <v>7</v>
      </c>
      <c r="B63" s="11">
        <v>1000000121</v>
      </c>
      <c r="C63" s="11">
        <v>50000</v>
      </c>
      <c r="D63" s="11" t="s">
        <v>8</v>
      </c>
      <c r="E63" s="11" t="s">
        <v>9</v>
      </c>
      <c r="F63" s="11" t="s">
        <v>149</v>
      </c>
      <c r="G63" s="11">
        <f>91-987650120</f>
        <v>-987650029</v>
      </c>
      <c r="H63" s="11"/>
      <c r="I63" s="11"/>
      <c r="J63" s="11"/>
      <c r="K63" s="11"/>
      <c r="L63" s="11" t="s">
        <v>11</v>
      </c>
      <c r="M63" s="11">
        <v>1000000122</v>
      </c>
      <c r="N63" s="11">
        <v>75000</v>
      </c>
      <c r="O63" s="11" t="s">
        <v>12</v>
      </c>
      <c r="P63" s="11" t="s">
        <v>13</v>
      </c>
      <c r="Q63" s="11" t="s">
        <v>150</v>
      </c>
      <c r="R63" s="11">
        <f>91-987650121</f>
        <v>-987650030</v>
      </c>
    </row>
    <row r="64" spans="1:18" x14ac:dyDescent="0.3">
      <c r="A64" s="11" t="s">
        <v>15</v>
      </c>
      <c r="B64" s="11">
        <v>1000000123</v>
      </c>
      <c r="C64" s="11">
        <v>120000</v>
      </c>
      <c r="D64" s="11" t="s">
        <v>16</v>
      </c>
      <c r="E64" s="11" t="s">
        <v>9</v>
      </c>
      <c r="F64" s="11" t="s">
        <v>151</v>
      </c>
      <c r="G64" s="11">
        <f>91-987650122</f>
        <v>-987650031</v>
      </c>
      <c r="H64" s="11"/>
      <c r="I64" s="11"/>
      <c r="J64" s="11"/>
      <c r="K64" s="11"/>
      <c r="L64" s="11" t="s">
        <v>18</v>
      </c>
      <c r="M64" s="11">
        <v>1000000124</v>
      </c>
      <c r="N64" s="11">
        <v>45000</v>
      </c>
      <c r="O64" s="11" t="s">
        <v>19</v>
      </c>
      <c r="P64" s="11" t="s">
        <v>13</v>
      </c>
      <c r="Q64" s="11" t="s">
        <v>152</v>
      </c>
      <c r="R64" s="11">
        <f>91-987650123</f>
        <v>-987650032</v>
      </c>
    </row>
    <row r="65" spans="1:18" x14ac:dyDescent="0.3">
      <c r="A65" s="11" t="s">
        <v>21</v>
      </c>
      <c r="B65" s="11">
        <v>1000000125</v>
      </c>
      <c r="C65" s="11">
        <v>98000</v>
      </c>
      <c r="D65" s="11" t="s">
        <v>22</v>
      </c>
      <c r="E65" s="11" t="s">
        <v>9</v>
      </c>
      <c r="F65" s="11" t="s">
        <v>153</v>
      </c>
      <c r="G65" s="11">
        <f>91-987650124</f>
        <v>-987650033</v>
      </c>
      <c r="H65" s="11"/>
      <c r="I65" s="11"/>
      <c r="J65" s="11"/>
      <c r="K65" s="11"/>
      <c r="L65" s="11" t="s">
        <v>24</v>
      </c>
      <c r="M65" s="11">
        <v>1000000126</v>
      </c>
      <c r="N65" s="11">
        <v>67000</v>
      </c>
      <c r="O65" s="11" t="s">
        <v>25</v>
      </c>
      <c r="P65" s="11" t="s">
        <v>13</v>
      </c>
      <c r="Q65" s="11" t="s">
        <v>154</v>
      </c>
      <c r="R65" s="11">
        <f>91-987650125</f>
        <v>-987650034</v>
      </c>
    </row>
    <row r="66" spans="1:18" x14ac:dyDescent="0.3">
      <c r="A66" s="11" t="s">
        <v>27</v>
      </c>
      <c r="B66" s="11">
        <v>1000000127</v>
      </c>
      <c r="C66" s="11">
        <v>56000</v>
      </c>
      <c r="D66" s="11" t="s">
        <v>28</v>
      </c>
      <c r="E66" s="11" t="s">
        <v>9</v>
      </c>
      <c r="F66" s="11" t="s">
        <v>155</v>
      </c>
      <c r="G66" s="11">
        <f>91-987650126</f>
        <v>-987650035</v>
      </c>
      <c r="H66" s="11"/>
      <c r="I66" s="11"/>
      <c r="J66" s="11"/>
      <c r="K66" s="11"/>
      <c r="L66" s="11" t="s">
        <v>30</v>
      </c>
      <c r="M66" s="11">
        <v>1000000128</v>
      </c>
      <c r="N66" s="11">
        <v>89000</v>
      </c>
      <c r="O66" s="11" t="s">
        <v>31</v>
      </c>
      <c r="P66" s="11" t="s">
        <v>13</v>
      </c>
      <c r="Q66" s="11" t="s">
        <v>156</v>
      </c>
      <c r="R66" s="11">
        <f>91-987650127</f>
        <v>-987650036</v>
      </c>
    </row>
    <row r="67" spans="1:18" x14ac:dyDescent="0.3">
      <c r="A67" s="11" t="s">
        <v>33</v>
      </c>
      <c r="B67" s="11">
        <v>1000000129</v>
      </c>
      <c r="C67" s="11">
        <v>46000</v>
      </c>
      <c r="D67" s="11" t="s">
        <v>34</v>
      </c>
      <c r="E67" s="11" t="s">
        <v>9</v>
      </c>
      <c r="F67" s="11" t="s">
        <v>157</v>
      </c>
      <c r="G67" s="11">
        <f>91-987650128</f>
        <v>-987650037</v>
      </c>
      <c r="H67" s="11"/>
      <c r="I67" s="11"/>
      <c r="J67" s="11"/>
      <c r="K67" s="11"/>
      <c r="L67" s="11" t="s">
        <v>36</v>
      </c>
      <c r="M67" s="11">
        <v>1000000130</v>
      </c>
      <c r="N67" s="11">
        <v>77000</v>
      </c>
      <c r="O67" s="11" t="s">
        <v>37</v>
      </c>
      <c r="P67" s="11" t="s">
        <v>13</v>
      </c>
      <c r="Q67" s="11" t="s">
        <v>158</v>
      </c>
      <c r="R67" s="11">
        <f>91-987650129</f>
        <v>-987650038</v>
      </c>
    </row>
    <row r="68" spans="1:18" x14ac:dyDescent="0.3">
      <c r="A68" s="11" t="s">
        <v>7</v>
      </c>
      <c r="B68" s="11">
        <v>1000000131</v>
      </c>
      <c r="C68" s="11">
        <v>50000</v>
      </c>
      <c r="D68" s="11" t="s">
        <v>8</v>
      </c>
      <c r="E68" s="11" t="s">
        <v>9</v>
      </c>
      <c r="F68" s="11" t="s">
        <v>159</v>
      </c>
      <c r="G68" s="11">
        <f>91-987650130</f>
        <v>-987650039</v>
      </c>
      <c r="H68" s="11"/>
      <c r="I68" s="11"/>
      <c r="J68" s="11"/>
      <c r="K68" s="11"/>
      <c r="L68" s="11" t="s">
        <v>11</v>
      </c>
      <c r="M68" s="11">
        <v>1000000132</v>
      </c>
      <c r="N68" s="11">
        <v>75000</v>
      </c>
      <c r="O68" s="11" t="s">
        <v>12</v>
      </c>
      <c r="P68" s="11" t="s">
        <v>13</v>
      </c>
      <c r="Q68" s="11" t="s">
        <v>160</v>
      </c>
      <c r="R68" s="11">
        <f>91-987650131</f>
        <v>-987650040</v>
      </c>
    </row>
    <row r="69" spans="1:18" x14ac:dyDescent="0.3">
      <c r="A69" s="11" t="s">
        <v>15</v>
      </c>
      <c r="B69" s="11">
        <v>1000000133</v>
      </c>
      <c r="C69" s="11">
        <v>120000</v>
      </c>
      <c r="D69" s="11" t="s">
        <v>16</v>
      </c>
      <c r="E69" s="11" t="s">
        <v>9</v>
      </c>
      <c r="F69" s="11" t="s">
        <v>161</v>
      </c>
      <c r="G69" s="11">
        <f>91-987650132</f>
        <v>-987650041</v>
      </c>
      <c r="H69" s="11"/>
      <c r="I69" s="11"/>
      <c r="J69" s="11"/>
      <c r="K69" s="11"/>
      <c r="L69" s="11" t="s">
        <v>18</v>
      </c>
      <c r="M69" s="11">
        <v>1000000134</v>
      </c>
      <c r="N69" s="11">
        <v>45000</v>
      </c>
      <c r="O69" s="11" t="s">
        <v>19</v>
      </c>
      <c r="P69" s="11" t="s">
        <v>13</v>
      </c>
      <c r="Q69" s="11" t="s">
        <v>162</v>
      </c>
      <c r="R69" s="11">
        <f>91-987650133</f>
        <v>-987650042</v>
      </c>
    </row>
    <row r="70" spans="1:18" x14ac:dyDescent="0.3">
      <c r="A70" s="11" t="s">
        <v>21</v>
      </c>
      <c r="B70" s="11">
        <v>1000000135</v>
      </c>
      <c r="C70" s="11">
        <v>98000</v>
      </c>
      <c r="D70" s="11" t="s">
        <v>22</v>
      </c>
      <c r="E70" s="11" t="s">
        <v>9</v>
      </c>
      <c r="F70" s="11" t="s">
        <v>163</v>
      </c>
      <c r="G70" s="11">
        <f>91-987650134</f>
        <v>-987650043</v>
      </c>
      <c r="H70" s="11"/>
      <c r="I70" s="11"/>
      <c r="J70" s="11"/>
      <c r="K70" s="11"/>
      <c r="L70" s="11" t="s">
        <v>24</v>
      </c>
      <c r="M70" s="11">
        <v>1000000136</v>
      </c>
      <c r="N70" s="11">
        <v>67000</v>
      </c>
      <c r="O70" s="11" t="s">
        <v>25</v>
      </c>
      <c r="P70" s="11" t="s">
        <v>13</v>
      </c>
      <c r="Q70" s="11" t="s">
        <v>164</v>
      </c>
      <c r="R70" s="11">
        <f>91-987650135</f>
        <v>-987650044</v>
      </c>
    </row>
    <row r="71" spans="1:18" x14ac:dyDescent="0.3">
      <c r="A71" s="11" t="s">
        <v>27</v>
      </c>
      <c r="B71" s="11">
        <v>1000000137</v>
      </c>
      <c r="C71" s="11">
        <v>56000</v>
      </c>
      <c r="D71" s="11" t="s">
        <v>28</v>
      </c>
      <c r="E71" s="11" t="s">
        <v>9</v>
      </c>
      <c r="F71" s="11" t="s">
        <v>165</v>
      </c>
      <c r="G71" s="11">
        <f>91-987650136</f>
        <v>-987650045</v>
      </c>
      <c r="H71" s="11"/>
      <c r="I71" s="11"/>
      <c r="J71" s="11"/>
      <c r="K71" s="11"/>
      <c r="L71" s="11" t="s">
        <v>30</v>
      </c>
      <c r="M71" s="11">
        <v>1000000138</v>
      </c>
      <c r="N71" s="11">
        <v>89000</v>
      </c>
      <c r="O71" s="11" t="s">
        <v>31</v>
      </c>
      <c r="P71" s="11" t="s">
        <v>13</v>
      </c>
      <c r="Q71" s="11" t="s">
        <v>166</v>
      </c>
      <c r="R71" s="11">
        <f>91-987650137</f>
        <v>-987650046</v>
      </c>
    </row>
    <row r="72" spans="1:18" x14ac:dyDescent="0.3">
      <c r="A72" s="11" t="s">
        <v>33</v>
      </c>
      <c r="B72" s="11">
        <v>1000000139</v>
      </c>
      <c r="C72" s="11">
        <v>46000</v>
      </c>
      <c r="D72" s="11" t="s">
        <v>34</v>
      </c>
      <c r="E72" s="11" t="s">
        <v>9</v>
      </c>
      <c r="F72" s="11" t="s">
        <v>167</v>
      </c>
      <c r="G72" s="11">
        <f>91-987650138</f>
        <v>-987650047</v>
      </c>
      <c r="H72" s="11"/>
      <c r="I72" s="11"/>
      <c r="J72" s="11"/>
      <c r="K72" s="11"/>
      <c r="L72" s="11" t="s">
        <v>36</v>
      </c>
      <c r="M72" s="11">
        <v>1000000140</v>
      </c>
      <c r="N72" s="11">
        <v>77000</v>
      </c>
      <c r="O72" s="11" t="s">
        <v>37</v>
      </c>
      <c r="P72" s="11" t="s">
        <v>13</v>
      </c>
      <c r="Q72" s="11" t="s">
        <v>168</v>
      </c>
      <c r="R72" s="11">
        <f>91-987650139</f>
        <v>-987650048</v>
      </c>
    </row>
    <row r="73" spans="1:18" x14ac:dyDescent="0.3">
      <c r="A73" s="11" t="s">
        <v>7</v>
      </c>
      <c r="B73" s="11">
        <v>1000000141</v>
      </c>
      <c r="C73" s="11">
        <v>50000</v>
      </c>
      <c r="D73" s="11" t="s">
        <v>8</v>
      </c>
      <c r="E73" s="11" t="s">
        <v>9</v>
      </c>
      <c r="F73" s="11" t="s">
        <v>169</v>
      </c>
      <c r="G73" s="11">
        <f>91-987650140</f>
        <v>-987650049</v>
      </c>
      <c r="H73" s="11"/>
      <c r="I73" s="11"/>
      <c r="J73" s="11"/>
      <c r="K73" s="11"/>
      <c r="L73" s="11" t="s">
        <v>11</v>
      </c>
      <c r="M73" s="11">
        <v>1000000142</v>
      </c>
      <c r="N73" s="11">
        <v>75000</v>
      </c>
      <c r="O73" s="11" t="s">
        <v>12</v>
      </c>
      <c r="P73" s="11" t="s">
        <v>13</v>
      </c>
      <c r="Q73" s="11" t="s">
        <v>170</v>
      </c>
      <c r="R73" s="11">
        <f>91-987650141</f>
        <v>-987650050</v>
      </c>
    </row>
    <row r="74" spans="1:18" x14ac:dyDescent="0.3">
      <c r="A74" s="11" t="s">
        <v>15</v>
      </c>
      <c r="B74" s="11">
        <v>1000000143</v>
      </c>
      <c r="C74" s="11">
        <v>120000</v>
      </c>
      <c r="D74" s="11" t="s">
        <v>16</v>
      </c>
      <c r="E74" s="11" t="s">
        <v>9</v>
      </c>
      <c r="F74" s="11" t="s">
        <v>171</v>
      </c>
      <c r="G74" s="11">
        <f>91-987650142</f>
        <v>-987650051</v>
      </c>
      <c r="H74" s="11"/>
      <c r="I74" s="11"/>
      <c r="J74" s="11"/>
      <c r="K74" s="11"/>
      <c r="L74" s="11" t="s">
        <v>18</v>
      </c>
      <c r="M74" s="11">
        <v>1000000144</v>
      </c>
      <c r="N74" s="11">
        <v>45000</v>
      </c>
      <c r="O74" s="11" t="s">
        <v>19</v>
      </c>
      <c r="P74" s="11" t="s">
        <v>13</v>
      </c>
      <c r="Q74" s="11" t="s">
        <v>172</v>
      </c>
      <c r="R74" s="11">
        <f>91-987650143</f>
        <v>-987650052</v>
      </c>
    </row>
    <row r="75" spans="1:18" x14ac:dyDescent="0.3">
      <c r="A75" s="11" t="s">
        <v>21</v>
      </c>
      <c r="B75" s="11">
        <v>1000000145</v>
      </c>
      <c r="C75" s="11">
        <v>98000</v>
      </c>
      <c r="D75" s="11" t="s">
        <v>22</v>
      </c>
      <c r="E75" s="11" t="s">
        <v>9</v>
      </c>
      <c r="F75" s="11" t="s">
        <v>173</v>
      </c>
      <c r="G75" s="11">
        <f>91-987650144</f>
        <v>-987650053</v>
      </c>
      <c r="H75" s="11"/>
      <c r="I75" s="11"/>
      <c r="J75" s="11"/>
      <c r="K75" s="11"/>
      <c r="L75" s="11" t="s">
        <v>24</v>
      </c>
      <c r="M75" s="11">
        <v>1000000146</v>
      </c>
      <c r="N75" s="11">
        <v>67000</v>
      </c>
      <c r="O75" s="11" t="s">
        <v>25</v>
      </c>
      <c r="P75" s="11" t="s">
        <v>13</v>
      </c>
      <c r="Q75" s="11" t="s">
        <v>174</v>
      </c>
      <c r="R75" s="11">
        <f>91-987650145</f>
        <v>-987650054</v>
      </c>
    </row>
    <row r="76" spans="1:18" x14ac:dyDescent="0.3">
      <c r="A76" s="11" t="s">
        <v>27</v>
      </c>
      <c r="B76" s="11">
        <v>1000000147</v>
      </c>
      <c r="C76" s="11">
        <v>56000</v>
      </c>
      <c r="D76" s="11" t="s">
        <v>28</v>
      </c>
      <c r="E76" s="11" t="s">
        <v>9</v>
      </c>
      <c r="F76" s="11" t="s">
        <v>175</v>
      </c>
      <c r="G76" s="11">
        <f>91-987650146</f>
        <v>-987650055</v>
      </c>
      <c r="H76" s="11"/>
      <c r="I76" s="11"/>
      <c r="J76" s="11"/>
      <c r="K76" s="11"/>
      <c r="L76" s="11" t="s">
        <v>30</v>
      </c>
      <c r="M76" s="11">
        <v>1000000148</v>
      </c>
      <c r="N76" s="11">
        <v>89000</v>
      </c>
      <c r="O76" s="11" t="s">
        <v>31</v>
      </c>
      <c r="P76" s="11" t="s">
        <v>13</v>
      </c>
      <c r="Q76" s="11" t="s">
        <v>176</v>
      </c>
      <c r="R76" s="11">
        <f>91-987650147</f>
        <v>-987650056</v>
      </c>
    </row>
    <row r="77" spans="1:18" x14ac:dyDescent="0.3">
      <c r="A77" s="11" t="s">
        <v>33</v>
      </c>
      <c r="B77" s="11">
        <v>1000000149</v>
      </c>
      <c r="C77" s="11">
        <v>46000</v>
      </c>
      <c r="D77" s="11" t="s">
        <v>34</v>
      </c>
      <c r="E77" s="11" t="s">
        <v>9</v>
      </c>
      <c r="F77" s="11" t="s">
        <v>177</v>
      </c>
      <c r="G77" s="11">
        <f>91-987650148</f>
        <v>-987650057</v>
      </c>
      <c r="H77" s="11"/>
      <c r="I77" s="11"/>
      <c r="J77" s="11"/>
      <c r="K77" s="11"/>
      <c r="L77" s="11" t="s">
        <v>36</v>
      </c>
      <c r="M77" s="11">
        <v>1000000150</v>
      </c>
      <c r="N77" s="11">
        <v>77000</v>
      </c>
      <c r="O77" s="11" t="s">
        <v>37</v>
      </c>
      <c r="P77" s="11" t="s">
        <v>13</v>
      </c>
      <c r="Q77" s="11" t="s">
        <v>178</v>
      </c>
      <c r="R77" s="11">
        <f>91-987650149</f>
        <v>-987650058</v>
      </c>
    </row>
    <row r="78" spans="1:18" x14ac:dyDescent="0.3">
      <c r="A78" s="11" t="s">
        <v>7</v>
      </c>
      <c r="B78" s="11">
        <v>1000000151</v>
      </c>
      <c r="C78" s="11">
        <v>50000</v>
      </c>
      <c r="D78" s="11" t="s">
        <v>8</v>
      </c>
      <c r="E78" s="11" t="s">
        <v>9</v>
      </c>
      <c r="F78" s="11" t="s">
        <v>179</v>
      </c>
      <c r="G78" s="11">
        <f>91-987650150</f>
        <v>-987650059</v>
      </c>
      <c r="H78" s="11"/>
      <c r="I78" s="11"/>
      <c r="J78" s="11"/>
      <c r="K78" s="11"/>
      <c r="L78" s="11" t="s">
        <v>11</v>
      </c>
      <c r="M78" s="11">
        <v>1000000152</v>
      </c>
      <c r="N78" s="11">
        <v>75000</v>
      </c>
      <c r="O78" s="11" t="s">
        <v>12</v>
      </c>
      <c r="P78" s="11" t="s">
        <v>13</v>
      </c>
      <c r="Q78" s="11" t="s">
        <v>180</v>
      </c>
      <c r="R78" s="11">
        <f>91-987650151</f>
        <v>-987650060</v>
      </c>
    </row>
    <row r="79" spans="1:18" x14ac:dyDescent="0.3">
      <c r="A79" s="11" t="s">
        <v>15</v>
      </c>
      <c r="B79" s="11">
        <v>1000000153</v>
      </c>
      <c r="C79" s="11">
        <v>120000</v>
      </c>
      <c r="D79" s="11" t="s">
        <v>16</v>
      </c>
      <c r="E79" s="11" t="s">
        <v>9</v>
      </c>
      <c r="F79" s="11" t="s">
        <v>181</v>
      </c>
      <c r="G79" s="11">
        <f>91-987650152</f>
        <v>-987650061</v>
      </c>
      <c r="H79" s="11"/>
      <c r="I79" s="11"/>
      <c r="J79" s="11"/>
      <c r="K79" s="11"/>
      <c r="L79" s="11" t="s">
        <v>18</v>
      </c>
      <c r="M79" s="11">
        <v>1000000154</v>
      </c>
      <c r="N79" s="11">
        <v>45000</v>
      </c>
      <c r="O79" s="11" t="s">
        <v>19</v>
      </c>
      <c r="P79" s="11" t="s">
        <v>13</v>
      </c>
      <c r="Q79" s="11" t="s">
        <v>182</v>
      </c>
      <c r="R79" s="11">
        <f>91-987650153</f>
        <v>-987650062</v>
      </c>
    </row>
    <row r="80" spans="1:18" x14ac:dyDescent="0.3">
      <c r="A80" s="11" t="s">
        <v>21</v>
      </c>
      <c r="B80" s="11">
        <v>1000000155</v>
      </c>
      <c r="C80" s="11">
        <v>98000</v>
      </c>
      <c r="D80" s="11" t="s">
        <v>22</v>
      </c>
      <c r="E80" s="11" t="s">
        <v>9</v>
      </c>
      <c r="F80" s="11" t="s">
        <v>183</v>
      </c>
      <c r="G80" s="11">
        <f>91-987650154</f>
        <v>-987650063</v>
      </c>
      <c r="H80" s="11"/>
      <c r="I80" s="11"/>
      <c r="J80" s="11"/>
      <c r="K80" s="11"/>
      <c r="L80" s="11" t="s">
        <v>24</v>
      </c>
      <c r="M80" s="11">
        <v>1000000156</v>
      </c>
      <c r="N80" s="11">
        <v>67000</v>
      </c>
      <c r="O80" s="11" t="s">
        <v>25</v>
      </c>
      <c r="P80" s="11" t="s">
        <v>13</v>
      </c>
      <c r="Q80" s="11" t="s">
        <v>184</v>
      </c>
      <c r="R80" s="11">
        <f>91-987650155</f>
        <v>-987650064</v>
      </c>
    </row>
    <row r="81" spans="1:18" x14ac:dyDescent="0.3">
      <c r="A81" s="11" t="s">
        <v>27</v>
      </c>
      <c r="B81" s="11">
        <v>1000000157</v>
      </c>
      <c r="C81" s="11">
        <v>56000</v>
      </c>
      <c r="D81" s="11" t="s">
        <v>28</v>
      </c>
      <c r="E81" s="11" t="s">
        <v>9</v>
      </c>
      <c r="F81" s="11" t="s">
        <v>185</v>
      </c>
      <c r="G81" s="11">
        <f>91-987650156</f>
        <v>-987650065</v>
      </c>
      <c r="H81" s="11"/>
      <c r="I81" s="11"/>
      <c r="J81" s="11"/>
      <c r="K81" s="11"/>
      <c r="L81" s="11" t="s">
        <v>30</v>
      </c>
      <c r="M81" s="11">
        <v>1000000158</v>
      </c>
      <c r="N81" s="11">
        <v>89000</v>
      </c>
      <c r="O81" s="11" t="s">
        <v>31</v>
      </c>
      <c r="P81" s="11" t="s">
        <v>13</v>
      </c>
      <c r="Q81" s="11" t="s">
        <v>186</v>
      </c>
      <c r="R81" s="11">
        <f>91-987650157</f>
        <v>-987650066</v>
      </c>
    </row>
    <row r="82" spans="1:18" x14ac:dyDescent="0.3">
      <c r="A82" s="11" t="s">
        <v>33</v>
      </c>
      <c r="B82" s="11">
        <v>1000000159</v>
      </c>
      <c r="C82" s="11">
        <v>46000</v>
      </c>
      <c r="D82" s="11" t="s">
        <v>34</v>
      </c>
      <c r="E82" s="11" t="s">
        <v>9</v>
      </c>
      <c r="F82" s="11" t="s">
        <v>187</v>
      </c>
      <c r="G82" s="11">
        <f>91-987650158</f>
        <v>-987650067</v>
      </c>
      <c r="H82" s="11"/>
      <c r="I82" s="11"/>
      <c r="J82" s="11"/>
      <c r="K82" s="11"/>
      <c r="L82" s="11" t="s">
        <v>36</v>
      </c>
      <c r="M82" s="11">
        <v>1000000160</v>
      </c>
      <c r="N82" s="11">
        <v>77000</v>
      </c>
      <c r="O82" s="11" t="s">
        <v>37</v>
      </c>
      <c r="P82" s="11" t="s">
        <v>13</v>
      </c>
      <c r="Q82" s="11" t="s">
        <v>188</v>
      </c>
      <c r="R82" s="11">
        <f>91-987650159</f>
        <v>-987650068</v>
      </c>
    </row>
    <row r="83" spans="1:18" x14ac:dyDescent="0.3">
      <c r="A83" s="11" t="s">
        <v>7</v>
      </c>
      <c r="B83" s="11">
        <v>1000000161</v>
      </c>
      <c r="C83" s="11">
        <v>50000</v>
      </c>
      <c r="D83" s="11" t="s">
        <v>8</v>
      </c>
      <c r="E83" s="11" t="s">
        <v>9</v>
      </c>
      <c r="F83" s="11" t="s">
        <v>189</v>
      </c>
      <c r="G83" s="11">
        <f>91-987650160</f>
        <v>-987650069</v>
      </c>
      <c r="H83" s="11"/>
      <c r="I83" s="11"/>
      <c r="J83" s="11"/>
      <c r="K83" s="11"/>
      <c r="L83" s="11" t="s">
        <v>11</v>
      </c>
      <c r="M83" s="11">
        <v>1000000162</v>
      </c>
      <c r="N83" s="11">
        <v>75000</v>
      </c>
      <c r="O83" s="11" t="s">
        <v>12</v>
      </c>
      <c r="P83" s="11" t="s">
        <v>13</v>
      </c>
      <c r="Q83" s="11" t="s">
        <v>190</v>
      </c>
      <c r="R83" s="11">
        <f>91-987650161</f>
        <v>-987650070</v>
      </c>
    </row>
    <row r="84" spans="1:18" x14ac:dyDescent="0.3">
      <c r="A84" s="11" t="s">
        <v>15</v>
      </c>
      <c r="B84" s="11">
        <v>1000000163</v>
      </c>
      <c r="C84" s="11">
        <v>120000</v>
      </c>
      <c r="D84" s="11" t="s">
        <v>16</v>
      </c>
      <c r="E84" s="11" t="s">
        <v>9</v>
      </c>
      <c r="F84" s="11" t="s">
        <v>191</v>
      </c>
      <c r="G84" s="11">
        <f>91-987650162</f>
        <v>-987650071</v>
      </c>
      <c r="H84" s="11"/>
      <c r="I84" s="11"/>
      <c r="J84" s="11"/>
      <c r="K84" s="11"/>
      <c r="L84" s="11" t="s">
        <v>18</v>
      </c>
      <c r="M84" s="11">
        <v>1000000164</v>
      </c>
      <c r="N84" s="11">
        <v>45000</v>
      </c>
      <c r="O84" s="11" t="s">
        <v>19</v>
      </c>
      <c r="P84" s="11" t="s">
        <v>13</v>
      </c>
      <c r="Q84" s="11" t="s">
        <v>192</v>
      </c>
      <c r="R84" s="11">
        <f>91-987650163</f>
        <v>-987650072</v>
      </c>
    </row>
    <row r="85" spans="1:18" x14ac:dyDescent="0.3">
      <c r="A85" s="11" t="s">
        <v>21</v>
      </c>
      <c r="B85" s="11">
        <v>1000000165</v>
      </c>
      <c r="C85" s="11">
        <v>98000</v>
      </c>
      <c r="D85" s="11" t="s">
        <v>22</v>
      </c>
      <c r="E85" s="11" t="s">
        <v>9</v>
      </c>
      <c r="F85" s="11" t="s">
        <v>193</v>
      </c>
      <c r="G85" s="11">
        <f>91-987650164</f>
        <v>-987650073</v>
      </c>
      <c r="H85" s="11"/>
      <c r="I85" s="11"/>
      <c r="J85" s="11"/>
      <c r="K85" s="11"/>
      <c r="L85" s="11" t="s">
        <v>24</v>
      </c>
      <c r="M85" s="11">
        <v>1000000166</v>
      </c>
      <c r="N85" s="11">
        <v>67000</v>
      </c>
      <c r="O85" s="11" t="s">
        <v>25</v>
      </c>
      <c r="P85" s="11" t="s">
        <v>13</v>
      </c>
      <c r="Q85" s="11" t="s">
        <v>194</v>
      </c>
      <c r="R85" s="11">
        <f>91-987650165</f>
        <v>-987650074</v>
      </c>
    </row>
    <row r="86" spans="1:18" x14ac:dyDescent="0.3">
      <c r="A86" s="11" t="s">
        <v>27</v>
      </c>
      <c r="B86" s="11">
        <v>1000000167</v>
      </c>
      <c r="C86" s="11">
        <v>56000</v>
      </c>
      <c r="D86" s="11" t="s">
        <v>28</v>
      </c>
      <c r="E86" s="11" t="s">
        <v>9</v>
      </c>
      <c r="F86" s="11" t="s">
        <v>195</v>
      </c>
      <c r="G86" s="11">
        <f>91-987650166</f>
        <v>-987650075</v>
      </c>
      <c r="H86" s="11"/>
      <c r="I86" s="11"/>
      <c r="J86" s="11"/>
      <c r="K86" s="11"/>
      <c r="L86" s="11" t="s">
        <v>30</v>
      </c>
      <c r="M86" s="11">
        <v>1000000168</v>
      </c>
      <c r="N86" s="11">
        <v>89000</v>
      </c>
      <c r="O86" s="11" t="s">
        <v>31</v>
      </c>
      <c r="P86" s="11" t="s">
        <v>13</v>
      </c>
      <c r="Q86" s="11" t="s">
        <v>196</v>
      </c>
      <c r="R86" s="11">
        <f>91-987650167</f>
        <v>-987650076</v>
      </c>
    </row>
    <row r="87" spans="1:18" x14ac:dyDescent="0.3">
      <c r="A87" s="11" t="s">
        <v>33</v>
      </c>
      <c r="B87" s="11">
        <v>1000000169</v>
      </c>
      <c r="C87" s="11">
        <v>46000</v>
      </c>
      <c r="D87" s="11" t="s">
        <v>34</v>
      </c>
      <c r="E87" s="11" t="s">
        <v>9</v>
      </c>
      <c r="F87" s="11" t="s">
        <v>197</v>
      </c>
      <c r="G87" s="11">
        <f>91-987650168</f>
        <v>-987650077</v>
      </c>
      <c r="H87" s="11"/>
      <c r="I87" s="11"/>
      <c r="J87" s="11"/>
      <c r="K87" s="11"/>
      <c r="L87" s="11" t="s">
        <v>36</v>
      </c>
      <c r="M87" s="11">
        <v>1000000170</v>
      </c>
      <c r="N87" s="11">
        <v>77000</v>
      </c>
      <c r="O87" s="11" t="s">
        <v>37</v>
      </c>
      <c r="P87" s="11" t="s">
        <v>13</v>
      </c>
      <c r="Q87" s="11" t="s">
        <v>198</v>
      </c>
      <c r="R87" s="11">
        <f>91-987650169</f>
        <v>-987650078</v>
      </c>
    </row>
    <row r="88" spans="1:18" x14ac:dyDescent="0.3">
      <c r="A88" s="11" t="s">
        <v>7</v>
      </c>
      <c r="B88" s="11">
        <v>1000000171</v>
      </c>
      <c r="C88" s="11">
        <v>50000</v>
      </c>
      <c r="D88" s="11" t="s">
        <v>8</v>
      </c>
      <c r="E88" s="11" t="s">
        <v>9</v>
      </c>
      <c r="F88" s="11" t="s">
        <v>199</v>
      </c>
      <c r="G88" s="11">
        <f>91-987650170</f>
        <v>-987650079</v>
      </c>
      <c r="H88" s="11"/>
      <c r="I88" s="11"/>
      <c r="J88" s="11"/>
      <c r="K88" s="11"/>
      <c r="L88" s="11" t="s">
        <v>11</v>
      </c>
      <c r="M88" s="11">
        <v>1000000172</v>
      </c>
      <c r="N88" s="11">
        <v>75000</v>
      </c>
      <c r="O88" s="11" t="s">
        <v>12</v>
      </c>
      <c r="P88" s="11" t="s">
        <v>13</v>
      </c>
      <c r="Q88" s="11" t="s">
        <v>200</v>
      </c>
      <c r="R88" s="11">
        <f>91-987650171</f>
        <v>-987650080</v>
      </c>
    </row>
    <row r="89" spans="1:18" x14ac:dyDescent="0.3">
      <c r="A89" s="11" t="s">
        <v>15</v>
      </c>
      <c r="B89" s="11">
        <v>1000000173</v>
      </c>
      <c r="C89" s="11">
        <v>120000</v>
      </c>
      <c r="D89" s="11" t="s">
        <v>16</v>
      </c>
      <c r="E89" s="11" t="s">
        <v>9</v>
      </c>
      <c r="F89" s="11" t="s">
        <v>201</v>
      </c>
      <c r="G89" s="11">
        <f>91-987650172</f>
        <v>-987650081</v>
      </c>
      <c r="H89" s="11"/>
      <c r="I89" s="11"/>
      <c r="J89" s="11"/>
      <c r="K89" s="11"/>
      <c r="L89" s="11" t="s">
        <v>18</v>
      </c>
      <c r="M89" s="11">
        <v>1000000174</v>
      </c>
      <c r="N89" s="11">
        <v>45000</v>
      </c>
      <c r="O89" s="11" t="s">
        <v>19</v>
      </c>
      <c r="P89" s="11" t="s">
        <v>13</v>
      </c>
      <c r="Q89" s="11" t="s">
        <v>202</v>
      </c>
      <c r="R89" s="11">
        <f>91-987650173</f>
        <v>-987650082</v>
      </c>
    </row>
    <row r="90" spans="1:18" x14ac:dyDescent="0.3">
      <c r="A90" s="11" t="s">
        <v>21</v>
      </c>
      <c r="B90" s="11">
        <v>1000000175</v>
      </c>
      <c r="C90" s="11">
        <v>98000</v>
      </c>
      <c r="D90" s="11" t="s">
        <v>22</v>
      </c>
      <c r="E90" s="11" t="s">
        <v>9</v>
      </c>
      <c r="F90" s="11" t="s">
        <v>203</v>
      </c>
      <c r="G90" s="11">
        <f>91-987650174</f>
        <v>-987650083</v>
      </c>
      <c r="H90" s="11"/>
      <c r="I90" s="11"/>
      <c r="J90" s="11"/>
      <c r="K90" s="11"/>
      <c r="L90" s="11" t="s">
        <v>24</v>
      </c>
      <c r="M90" s="11">
        <v>1000000176</v>
      </c>
      <c r="N90" s="11">
        <v>67000</v>
      </c>
      <c r="O90" s="11" t="s">
        <v>25</v>
      </c>
      <c r="P90" s="11" t="s">
        <v>13</v>
      </c>
      <c r="Q90" s="11" t="s">
        <v>204</v>
      </c>
      <c r="R90" s="11">
        <f>91-987650175</f>
        <v>-987650084</v>
      </c>
    </row>
    <row r="91" spans="1:18" x14ac:dyDescent="0.3">
      <c r="A91" s="11" t="s">
        <v>27</v>
      </c>
      <c r="B91" s="11">
        <v>1000000177</v>
      </c>
      <c r="C91" s="11">
        <v>56000</v>
      </c>
      <c r="D91" s="11" t="s">
        <v>28</v>
      </c>
      <c r="E91" s="11" t="s">
        <v>9</v>
      </c>
      <c r="F91" s="11" t="s">
        <v>205</v>
      </c>
      <c r="G91" s="11">
        <f>91-987650176</f>
        <v>-987650085</v>
      </c>
      <c r="H91" s="11"/>
      <c r="I91" s="11"/>
      <c r="J91" s="11"/>
      <c r="K91" s="11"/>
      <c r="L91" s="11" t="s">
        <v>30</v>
      </c>
      <c r="M91" s="11">
        <v>1000000178</v>
      </c>
      <c r="N91" s="11">
        <v>89000</v>
      </c>
      <c r="O91" s="11" t="s">
        <v>31</v>
      </c>
      <c r="P91" s="11" t="s">
        <v>13</v>
      </c>
      <c r="Q91" s="11" t="s">
        <v>206</v>
      </c>
      <c r="R91" s="11">
        <f>91-987650177</f>
        <v>-987650086</v>
      </c>
    </row>
    <row r="92" spans="1:18" x14ac:dyDescent="0.3">
      <c r="A92" s="11" t="s">
        <v>33</v>
      </c>
      <c r="B92" s="11">
        <v>1000000179</v>
      </c>
      <c r="C92" s="11">
        <v>46000</v>
      </c>
      <c r="D92" s="11" t="s">
        <v>34</v>
      </c>
      <c r="E92" s="11" t="s">
        <v>9</v>
      </c>
      <c r="F92" s="11" t="s">
        <v>207</v>
      </c>
      <c r="G92" s="11">
        <f>91-987650178</f>
        <v>-987650087</v>
      </c>
      <c r="H92" s="11"/>
      <c r="I92" s="11"/>
      <c r="J92" s="11"/>
      <c r="K92" s="11"/>
      <c r="L92" s="11" t="s">
        <v>36</v>
      </c>
      <c r="M92" s="11">
        <v>1000000180</v>
      </c>
      <c r="N92" s="11">
        <v>77000</v>
      </c>
      <c r="O92" s="11" t="s">
        <v>37</v>
      </c>
      <c r="P92" s="11" t="s">
        <v>13</v>
      </c>
      <c r="Q92" s="11" t="s">
        <v>208</v>
      </c>
      <c r="R92" s="11">
        <f>91-987650179</f>
        <v>-987650088</v>
      </c>
    </row>
    <row r="93" spans="1:18" x14ac:dyDescent="0.3">
      <c r="A93" s="11" t="s">
        <v>7</v>
      </c>
      <c r="B93" s="11">
        <v>1000000181</v>
      </c>
      <c r="C93" s="11">
        <v>50000</v>
      </c>
      <c r="D93" s="11" t="s">
        <v>8</v>
      </c>
      <c r="E93" s="11" t="s">
        <v>9</v>
      </c>
      <c r="F93" s="11" t="s">
        <v>209</v>
      </c>
      <c r="G93" s="11">
        <f>91-987650180</f>
        <v>-987650089</v>
      </c>
      <c r="H93" s="11"/>
      <c r="I93" s="11"/>
      <c r="J93" s="11"/>
      <c r="K93" s="11"/>
      <c r="L93" s="11" t="s">
        <v>11</v>
      </c>
      <c r="M93" s="11">
        <v>1000000182</v>
      </c>
      <c r="N93" s="11">
        <v>75000</v>
      </c>
      <c r="O93" s="11" t="s">
        <v>12</v>
      </c>
      <c r="P93" s="11" t="s">
        <v>13</v>
      </c>
      <c r="Q93" s="11" t="s">
        <v>210</v>
      </c>
      <c r="R93" s="11">
        <f>91-987650181</f>
        <v>-987650090</v>
      </c>
    </row>
    <row r="94" spans="1:18" x14ac:dyDescent="0.3">
      <c r="A94" s="11" t="s">
        <v>15</v>
      </c>
      <c r="B94" s="11">
        <v>1000000183</v>
      </c>
      <c r="C94" s="11">
        <v>120000</v>
      </c>
      <c r="D94" s="11" t="s">
        <v>16</v>
      </c>
      <c r="E94" s="11" t="s">
        <v>9</v>
      </c>
      <c r="F94" s="11" t="s">
        <v>211</v>
      </c>
      <c r="G94" s="11">
        <f>91-987650182</f>
        <v>-987650091</v>
      </c>
      <c r="H94" s="11"/>
      <c r="I94" s="11"/>
      <c r="J94" s="11"/>
      <c r="K94" s="11"/>
      <c r="L94" s="11" t="s">
        <v>18</v>
      </c>
      <c r="M94" s="11">
        <v>1000000184</v>
      </c>
      <c r="N94" s="11">
        <v>45000</v>
      </c>
      <c r="O94" s="11" t="s">
        <v>19</v>
      </c>
      <c r="P94" s="11" t="s">
        <v>13</v>
      </c>
      <c r="Q94" s="11" t="s">
        <v>212</v>
      </c>
      <c r="R94" s="11">
        <f>91-987650183</f>
        <v>-987650092</v>
      </c>
    </row>
    <row r="95" spans="1:18" x14ac:dyDescent="0.3">
      <c r="A95" s="11" t="s">
        <v>21</v>
      </c>
      <c r="B95" s="11">
        <v>1000000185</v>
      </c>
      <c r="C95" s="11">
        <v>98000</v>
      </c>
      <c r="D95" s="11" t="s">
        <v>22</v>
      </c>
      <c r="E95" s="11" t="s">
        <v>9</v>
      </c>
      <c r="F95" s="11" t="s">
        <v>213</v>
      </c>
      <c r="G95" s="11">
        <f>91-987650184</f>
        <v>-987650093</v>
      </c>
      <c r="H95" s="11"/>
      <c r="I95" s="11"/>
      <c r="J95" s="11"/>
      <c r="K95" s="11"/>
      <c r="L95" s="11" t="s">
        <v>24</v>
      </c>
      <c r="M95" s="11">
        <v>1000000186</v>
      </c>
      <c r="N95" s="11">
        <v>67000</v>
      </c>
      <c r="O95" s="11" t="s">
        <v>25</v>
      </c>
      <c r="P95" s="11" t="s">
        <v>13</v>
      </c>
      <c r="Q95" s="11" t="s">
        <v>214</v>
      </c>
      <c r="R95" s="11">
        <f>91-987650185</f>
        <v>-987650094</v>
      </c>
    </row>
    <row r="96" spans="1:18" x14ac:dyDescent="0.3">
      <c r="A96" s="11" t="s">
        <v>27</v>
      </c>
      <c r="B96" s="11">
        <v>1000000187</v>
      </c>
      <c r="C96" s="11">
        <v>56000</v>
      </c>
      <c r="D96" s="11" t="s">
        <v>28</v>
      </c>
      <c r="E96" s="11" t="s">
        <v>9</v>
      </c>
      <c r="F96" s="11" t="s">
        <v>215</v>
      </c>
      <c r="G96" s="11">
        <f>91-987650186</f>
        <v>-987650095</v>
      </c>
      <c r="H96" s="11"/>
      <c r="I96" s="11"/>
      <c r="J96" s="11"/>
      <c r="K96" s="11"/>
      <c r="L96" s="11" t="s">
        <v>30</v>
      </c>
      <c r="M96" s="11">
        <v>1000000188</v>
      </c>
      <c r="N96" s="11">
        <v>89000</v>
      </c>
      <c r="O96" s="11" t="s">
        <v>31</v>
      </c>
      <c r="P96" s="11" t="s">
        <v>13</v>
      </c>
      <c r="Q96" s="11" t="s">
        <v>216</v>
      </c>
      <c r="R96" s="11">
        <f>91-987650187</f>
        <v>-987650096</v>
      </c>
    </row>
    <row r="97" spans="1:18" x14ac:dyDescent="0.3">
      <c r="A97" s="11" t="s">
        <v>33</v>
      </c>
      <c r="B97" s="11">
        <v>1000000189</v>
      </c>
      <c r="C97" s="11">
        <v>46000</v>
      </c>
      <c r="D97" s="11" t="s">
        <v>34</v>
      </c>
      <c r="E97" s="11" t="s">
        <v>9</v>
      </c>
      <c r="F97" s="11" t="s">
        <v>217</v>
      </c>
      <c r="G97" s="11">
        <f>91-987650188</f>
        <v>-987650097</v>
      </c>
      <c r="H97" s="11"/>
      <c r="I97" s="11"/>
      <c r="J97" s="11"/>
      <c r="K97" s="11"/>
      <c r="L97" s="11" t="s">
        <v>36</v>
      </c>
      <c r="M97" s="11">
        <v>1000000190</v>
      </c>
      <c r="N97" s="11">
        <v>77000</v>
      </c>
      <c r="O97" s="11" t="s">
        <v>37</v>
      </c>
      <c r="P97" s="11" t="s">
        <v>13</v>
      </c>
      <c r="Q97" s="11" t="s">
        <v>218</v>
      </c>
      <c r="R97" s="11">
        <f>91-987650189</f>
        <v>-987650098</v>
      </c>
    </row>
    <row r="98" spans="1:18" x14ac:dyDescent="0.3">
      <c r="A98" s="11" t="s">
        <v>7</v>
      </c>
      <c r="B98" s="11">
        <v>1000000191</v>
      </c>
      <c r="C98" s="11">
        <v>50000</v>
      </c>
      <c r="D98" s="11" t="s">
        <v>8</v>
      </c>
      <c r="E98" s="11" t="s">
        <v>9</v>
      </c>
      <c r="F98" s="11" t="s">
        <v>219</v>
      </c>
      <c r="G98" s="11">
        <f>91-987650190</f>
        <v>-987650099</v>
      </c>
      <c r="H98" s="11"/>
      <c r="I98" s="11"/>
      <c r="J98" s="11"/>
      <c r="K98" s="11"/>
      <c r="L98" s="11" t="s">
        <v>11</v>
      </c>
      <c r="M98" s="11">
        <v>1000000192</v>
      </c>
      <c r="N98" s="11">
        <v>75000</v>
      </c>
      <c r="O98" s="11" t="s">
        <v>12</v>
      </c>
      <c r="P98" s="11" t="s">
        <v>13</v>
      </c>
      <c r="Q98" s="11" t="s">
        <v>220</v>
      </c>
      <c r="R98" s="11">
        <f>91-987650191</f>
        <v>-987650100</v>
      </c>
    </row>
    <row r="99" spans="1:18" x14ac:dyDescent="0.3">
      <c r="A99" s="11" t="s">
        <v>15</v>
      </c>
      <c r="B99" s="11">
        <v>1000000193</v>
      </c>
      <c r="C99" s="11">
        <v>120000</v>
      </c>
      <c r="D99" s="11" t="s">
        <v>16</v>
      </c>
      <c r="E99" s="11" t="s">
        <v>9</v>
      </c>
      <c r="F99" s="11" t="s">
        <v>221</v>
      </c>
      <c r="G99" s="11">
        <f>91-987650192</f>
        <v>-987650101</v>
      </c>
      <c r="H99" s="11"/>
      <c r="I99" s="11"/>
      <c r="J99" s="11"/>
      <c r="K99" s="11"/>
      <c r="L99" s="11" t="s">
        <v>18</v>
      </c>
      <c r="M99" s="11">
        <v>1000000194</v>
      </c>
      <c r="N99" s="11">
        <v>45000</v>
      </c>
      <c r="O99" s="11" t="s">
        <v>19</v>
      </c>
      <c r="P99" s="11" t="s">
        <v>13</v>
      </c>
      <c r="Q99" s="11" t="s">
        <v>222</v>
      </c>
      <c r="R99" s="11">
        <f>91-987650193</f>
        <v>-987650102</v>
      </c>
    </row>
    <row r="100" spans="1:18" x14ac:dyDescent="0.3">
      <c r="A100" s="11" t="s">
        <v>21</v>
      </c>
      <c r="B100" s="11">
        <v>1000000195</v>
      </c>
      <c r="C100" s="11">
        <v>98000</v>
      </c>
      <c r="D100" s="11" t="s">
        <v>22</v>
      </c>
      <c r="E100" s="11" t="s">
        <v>9</v>
      </c>
      <c r="F100" s="11" t="s">
        <v>223</v>
      </c>
      <c r="G100" s="11">
        <f>91-987650194</f>
        <v>-987650103</v>
      </c>
      <c r="H100" s="11"/>
      <c r="I100" s="11"/>
      <c r="J100" s="11"/>
      <c r="K100" s="11"/>
      <c r="L100" s="11" t="s">
        <v>24</v>
      </c>
      <c r="M100" s="11">
        <v>1000000196</v>
      </c>
      <c r="N100" s="11">
        <v>67000</v>
      </c>
      <c r="O100" s="11" t="s">
        <v>25</v>
      </c>
      <c r="P100" s="11" t="s">
        <v>13</v>
      </c>
      <c r="Q100" s="11" t="s">
        <v>224</v>
      </c>
      <c r="R100" s="11">
        <f>91-987650195</f>
        <v>-987650104</v>
      </c>
    </row>
    <row r="101" spans="1:18" x14ac:dyDescent="0.3">
      <c r="A101" s="11" t="s">
        <v>27</v>
      </c>
      <c r="B101" s="11">
        <v>1000000197</v>
      </c>
      <c r="C101" s="11">
        <v>56000</v>
      </c>
      <c r="D101" s="11" t="s">
        <v>28</v>
      </c>
      <c r="E101" s="11" t="s">
        <v>9</v>
      </c>
      <c r="F101" s="11" t="s">
        <v>225</v>
      </c>
      <c r="G101" s="11">
        <f>91-987650196</f>
        <v>-987650105</v>
      </c>
      <c r="H101" s="11"/>
      <c r="I101" s="11"/>
      <c r="J101" s="11"/>
      <c r="K101" s="11"/>
      <c r="L101" s="11" t="s">
        <v>30</v>
      </c>
      <c r="M101" s="11">
        <v>1000000198</v>
      </c>
      <c r="N101" s="11">
        <v>89000</v>
      </c>
      <c r="O101" s="11" t="s">
        <v>31</v>
      </c>
      <c r="P101" s="11" t="s">
        <v>13</v>
      </c>
      <c r="Q101" s="11" t="s">
        <v>226</v>
      </c>
      <c r="R101" s="11">
        <f>91-987650197</f>
        <v>-987650106</v>
      </c>
    </row>
    <row r="102" spans="1:18" x14ac:dyDescent="0.3">
      <c r="A102" s="11" t="s">
        <v>33</v>
      </c>
      <c r="B102" s="11">
        <v>1000000199</v>
      </c>
      <c r="C102" s="11">
        <v>46000</v>
      </c>
      <c r="D102" s="11" t="s">
        <v>34</v>
      </c>
      <c r="E102" s="11" t="s">
        <v>9</v>
      </c>
      <c r="F102" s="11" t="s">
        <v>227</v>
      </c>
      <c r="G102" s="11">
        <f>91-987650198</f>
        <v>-987650107</v>
      </c>
      <c r="H102" s="11"/>
      <c r="I102" s="11"/>
      <c r="J102" s="11"/>
      <c r="K102" s="11"/>
      <c r="L102" s="11" t="s">
        <v>36</v>
      </c>
      <c r="M102" s="11">
        <v>1000000200</v>
      </c>
      <c r="N102" s="11">
        <v>77000</v>
      </c>
      <c r="O102" s="11" t="s">
        <v>37</v>
      </c>
      <c r="P102" s="11" t="s">
        <v>13</v>
      </c>
      <c r="Q102" s="11" t="s">
        <v>228</v>
      </c>
      <c r="R102" s="11">
        <f>91-987650199</f>
        <v>-987650108</v>
      </c>
    </row>
  </sheetData>
  <mergeCells count="1"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8305-0355-4F3A-B4DF-387D78B73FD6}">
  <dimension ref="A2:H19"/>
  <sheetViews>
    <sheetView workbookViewId="0">
      <selection activeCell="I9" sqref="I9"/>
    </sheetView>
  </sheetViews>
  <sheetFormatPr defaultRowHeight="14.4" x14ac:dyDescent="0.3"/>
  <cols>
    <col min="1" max="1" width="19.88671875" customWidth="1"/>
    <col min="2" max="2" width="17" customWidth="1"/>
    <col min="3" max="3" width="24.109375" customWidth="1"/>
    <col min="4" max="4" width="22.5546875" customWidth="1"/>
    <col min="5" max="5" width="20.6640625" customWidth="1"/>
    <col min="6" max="6" width="16" customWidth="1"/>
    <col min="7" max="7" width="17.21875" customWidth="1"/>
    <col min="8" max="8" width="19.44140625" customWidth="1"/>
  </cols>
  <sheetData>
    <row r="2" spans="1:8" x14ac:dyDescent="0.3">
      <c r="G2" s="18" t="s">
        <v>229</v>
      </c>
      <c r="H2" s="18"/>
    </row>
    <row r="3" spans="1:8" x14ac:dyDescent="0.3">
      <c r="A3" s="13" t="s">
        <v>232</v>
      </c>
      <c r="B3" s="14"/>
      <c r="C3" s="14"/>
      <c r="D3" s="14"/>
      <c r="E3" s="14"/>
      <c r="F3" s="14"/>
      <c r="G3" s="14"/>
      <c r="H3" s="14"/>
    </row>
    <row r="4" spans="1:8" x14ac:dyDescent="0.3">
      <c r="A4" s="15" t="s">
        <v>0</v>
      </c>
      <c r="B4" s="15" t="s">
        <v>2</v>
      </c>
      <c r="C4" s="15" t="s">
        <v>233</v>
      </c>
      <c r="D4" s="14"/>
      <c r="E4" s="14"/>
      <c r="F4" s="14"/>
      <c r="G4" s="15" t="s">
        <v>2</v>
      </c>
      <c r="H4" s="15" t="s">
        <v>233</v>
      </c>
    </row>
    <row r="5" spans="1:8" x14ac:dyDescent="0.3">
      <c r="A5" s="14" t="s">
        <v>7</v>
      </c>
      <c r="B5" s="14">
        <v>45000</v>
      </c>
      <c r="C5" s="14">
        <f>_xlfn.XLOOKUP(B5,$G$4:$G$10,$H$4:$H$10,,-1)</f>
        <v>0</v>
      </c>
      <c r="D5" s="14"/>
      <c r="E5" s="14"/>
      <c r="F5" s="14"/>
      <c r="G5" s="14">
        <v>0</v>
      </c>
      <c r="H5" s="14">
        <v>0</v>
      </c>
    </row>
    <row r="6" spans="1:8" x14ac:dyDescent="0.3">
      <c r="A6" s="14" t="s">
        <v>15</v>
      </c>
      <c r="B6" s="14">
        <v>120000</v>
      </c>
      <c r="C6" s="14">
        <f t="shared" ref="C6:C19" si="0">_xlfn.XLOOKUP(B6,$G$4:$G$10,$H$4:$H$10,,-1)</f>
        <v>150000</v>
      </c>
      <c r="D6" s="14"/>
      <c r="E6" s="14"/>
      <c r="F6" s="14"/>
      <c r="G6" s="14">
        <v>50000</v>
      </c>
      <c r="H6" s="14">
        <v>80000</v>
      </c>
    </row>
    <row r="7" spans="1:8" x14ac:dyDescent="0.3">
      <c r="A7" s="14" t="s">
        <v>21</v>
      </c>
      <c r="B7" s="14">
        <v>98000</v>
      </c>
      <c r="C7" s="14">
        <f t="shared" si="0"/>
        <v>80000</v>
      </c>
      <c r="D7" s="14"/>
      <c r="E7" s="14"/>
      <c r="F7" s="14"/>
      <c r="G7" s="14">
        <v>100000</v>
      </c>
      <c r="H7" s="14">
        <v>150000</v>
      </c>
    </row>
    <row r="8" spans="1:8" x14ac:dyDescent="0.3">
      <c r="A8" s="14" t="s">
        <v>27</v>
      </c>
      <c r="B8" s="14">
        <v>56000</v>
      </c>
      <c r="C8" s="14">
        <f t="shared" si="0"/>
        <v>80000</v>
      </c>
      <c r="D8" s="14"/>
      <c r="E8" s="14"/>
      <c r="F8" s="14"/>
      <c r="G8" s="14">
        <v>150000</v>
      </c>
      <c r="H8" s="14">
        <v>300000</v>
      </c>
    </row>
    <row r="9" spans="1:8" x14ac:dyDescent="0.3">
      <c r="A9" s="14" t="s">
        <v>33</v>
      </c>
      <c r="B9" s="14">
        <v>46000</v>
      </c>
      <c r="C9" s="14">
        <f t="shared" si="0"/>
        <v>0</v>
      </c>
      <c r="D9" s="14"/>
      <c r="E9" s="14"/>
      <c r="F9" s="14"/>
      <c r="G9" s="14">
        <v>200000</v>
      </c>
      <c r="H9" s="14">
        <v>400000</v>
      </c>
    </row>
    <row r="10" spans="1:8" x14ac:dyDescent="0.3">
      <c r="A10" s="14" t="s">
        <v>234</v>
      </c>
      <c r="B10" s="14">
        <v>50000</v>
      </c>
      <c r="C10" s="14">
        <f t="shared" si="0"/>
        <v>80000</v>
      </c>
      <c r="D10" s="14"/>
      <c r="E10" s="14"/>
      <c r="F10" s="14"/>
      <c r="G10" s="14">
        <v>300000</v>
      </c>
      <c r="H10" s="14">
        <v>500000</v>
      </c>
    </row>
    <row r="11" spans="1:8" x14ac:dyDescent="0.3">
      <c r="A11" s="14" t="s">
        <v>235</v>
      </c>
      <c r="B11" s="14">
        <v>120000</v>
      </c>
      <c r="C11" s="14">
        <f t="shared" si="0"/>
        <v>150000</v>
      </c>
      <c r="D11" s="14"/>
      <c r="E11" s="14"/>
      <c r="F11" s="14"/>
      <c r="G11" s="14"/>
      <c r="H11" s="14"/>
    </row>
    <row r="12" spans="1:8" x14ac:dyDescent="0.3">
      <c r="A12" s="14" t="s">
        <v>237</v>
      </c>
      <c r="B12" s="14">
        <v>50000</v>
      </c>
      <c r="C12" s="14">
        <f t="shared" si="0"/>
        <v>80000</v>
      </c>
      <c r="D12" s="14"/>
      <c r="E12" s="14"/>
      <c r="F12" s="14"/>
      <c r="G12" s="16" t="s">
        <v>236</v>
      </c>
      <c r="H12" s="14"/>
    </row>
    <row r="13" spans="1:8" x14ac:dyDescent="0.3">
      <c r="A13" s="14" t="s">
        <v>238</v>
      </c>
      <c r="B13" s="14">
        <v>56000</v>
      </c>
      <c r="C13" s="14">
        <f t="shared" si="0"/>
        <v>80000</v>
      </c>
      <c r="D13" s="14"/>
      <c r="E13" s="14"/>
      <c r="F13" s="14"/>
      <c r="G13" s="15" t="s">
        <v>0</v>
      </c>
      <c r="H13" s="15" t="s">
        <v>2</v>
      </c>
    </row>
    <row r="14" spans="1:8" x14ac:dyDescent="0.3">
      <c r="A14" s="14" t="s">
        <v>239</v>
      </c>
      <c r="B14" s="14">
        <v>46000</v>
      </c>
      <c r="C14" s="14">
        <f t="shared" si="0"/>
        <v>0</v>
      </c>
      <c r="D14" s="14"/>
      <c r="E14" s="14"/>
      <c r="F14" s="14"/>
      <c r="G14" s="14" t="s">
        <v>245</v>
      </c>
      <c r="H14" s="14">
        <f>_xlfn.XLOOKUP("*"&amp;G14&amp;"*",$A$4:$A$19,$B$4:$B$19,,2)</f>
        <v>120000</v>
      </c>
    </row>
    <row r="15" spans="1:8" x14ac:dyDescent="0.3">
      <c r="A15" s="14" t="s">
        <v>240</v>
      </c>
      <c r="B15" s="14">
        <v>50000</v>
      </c>
      <c r="C15" s="14">
        <f t="shared" si="0"/>
        <v>80000</v>
      </c>
      <c r="D15" s="14"/>
      <c r="E15" s="14"/>
      <c r="F15" s="14"/>
      <c r="G15" s="14"/>
      <c r="H15" s="14"/>
    </row>
    <row r="16" spans="1:8" x14ac:dyDescent="0.3">
      <c r="A16" s="14" t="s">
        <v>241</v>
      </c>
      <c r="B16" s="14">
        <v>120000</v>
      </c>
      <c r="C16" s="14">
        <f t="shared" si="0"/>
        <v>150000</v>
      </c>
      <c r="D16" s="14"/>
      <c r="E16" s="14"/>
      <c r="F16" s="14"/>
      <c r="G16" s="14"/>
      <c r="H16" s="14"/>
    </row>
    <row r="17" spans="1:8" x14ac:dyDescent="0.3">
      <c r="A17" s="14" t="s">
        <v>242</v>
      </c>
      <c r="B17" s="14">
        <v>220000</v>
      </c>
      <c r="C17" s="14">
        <f t="shared" si="0"/>
        <v>400000</v>
      </c>
      <c r="D17" s="14"/>
      <c r="E17" s="14"/>
      <c r="F17" s="14"/>
      <c r="G17" s="14"/>
      <c r="H17" s="14"/>
    </row>
    <row r="18" spans="1:8" x14ac:dyDescent="0.3">
      <c r="A18" s="14" t="s">
        <v>243</v>
      </c>
      <c r="B18" s="14">
        <v>56000</v>
      </c>
      <c r="C18" s="14">
        <f t="shared" si="0"/>
        <v>80000</v>
      </c>
      <c r="D18" s="14"/>
      <c r="E18" s="14"/>
      <c r="F18" s="14"/>
      <c r="G18" s="14"/>
      <c r="H18" s="14"/>
    </row>
    <row r="19" spans="1:8" x14ac:dyDescent="0.3">
      <c r="A19" s="14" t="s">
        <v>244</v>
      </c>
      <c r="B19" s="14">
        <v>350000</v>
      </c>
      <c r="C19" s="14">
        <f t="shared" si="0"/>
        <v>500000</v>
      </c>
      <c r="D19" s="14"/>
      <c r="E19" s="14"/>
      <c r="F19" s="14"/>
      <c r="G19" s="14"/>
      <c r="H19" s="14"/>
    </row>
  </sheetData>
  <mergeCells count="1"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190-A5AE-4BAD-BDB0-1872F5634E3F}">
  <dimension ref="A1:F16"/>
  <sheetViews>
    <sheetView zoomScale="115" zoomScaleNormal="115" workbookViewId="0">
      <selection activeCell="F10" sqref="F10"/>
    </sheetView>
  </sheetViews>
  <sheetFormatPr defaultRowHeight="14.4" x14ac:dyDescent="0.3"/>
  <cols>
    <col min="1" max="1" width="23.88671875" customWidth="1"/>
    <col min="2" max="2" width="20.21875" customWidth="1"/>
    <col min="5" max="5" width="16.6640625" customWidth="1"/>
    <col min="6" max="6" width="18.6640625" customWidth="1"/>
  </cols>
  <sheetData>
    <row r="1" spans="1:6" ht="15" thickBot="1" x14ac:dyDescent="0.35">
      <c r="A1" s="1" t="s">
        <v>0</v>
      </c>
      <c r="B1" s="1" t="s">
        <v>2</v>
      </c>
    </row>
    <row r="2" spans="1:6" ht="15" thickBot="1" x14ac:dyDescent="0.35">
      <c r="A2" s="2" t="s">
        <v>7</v>
      </c>
      <c r="B2" s="2">
        <v>50000</v>
      </c>
      <c r="E2" s="17" t="s">
        <v>246</v>
      </c>
      <c r="F2" s="17"/>
    </row>
    <row r="3" spans="1:6" ht="15" thickBot="1" x14ac:dyDescent="0.35">
      <c r="A3" s="2" t="s">
        <v>15</v>
      </c>
      <c r="B3" s="2">
        <v>120000</v>
      </c>
      <c r="E3" s="1" t="s">
        <v>2</v>
      </c>
      <c r="F3" s="4" t="s">
        <v>0</v>
      </c>
    </row>
    <row r="4" spans="1:6" ht="15" thickBot="1" x14ac:dyDescent="0.35">
      <c r="A4" s="2" t="s">
        <v>21</v>
      </c>
      <c r="B4" s="2">
        <v>98000</v>
      </c>
      <c r="E4" s="9">
        <v>56000</v>
      </c>
      <c r="F4" s="9" t="str">
        <f>_xlfn.XLOOKUP(E4,$B$1:$B$16,$A$1:$A$16,,,-1)</f>
        <v>Radha Gupta</v>
      </c>
    </row>
    <row r="5" spans="1:6" ht="15" thickBot="1" x14ac:dyDescent="0.35">
      <c r="A5" s="2" t="s">
        <v>27</v>
      </c>
      <c r="B5" s="2">
        <v>56000</v>
      </c>
    </row>
    <row r="6" spans="1:6" ht="15" thickBot="1" x14ac:dyDescent="0.35">
      <c r="A6" s="2" t="s">
        <v>33</v>
      </c>
      <c r="B6" s="2">
        <v>46000</v>
      </c>
    </row>
    <row r="7" spans="1:6" ht="15" thickBot="1" x14ac:dyDescent="0.35">
      <c r="A7" s="2" t="s">
        <v>234</v>
      </c>
      <c r="B7" s="2">
        <v>50000</v>
      </c>
    </row>
    <row r="8" spans="1:6" ht="15" thickBot="1" x14ac:dyDescent="0.35">
      <c r="A8" s="2" t="s">
        <v>235</v>
      </c>
      <c r="B8" s="2">
        <v>120000</v>
      </c>
    </row>
    <row r="9" spans="1:6" ht="15" thickBot="1" x14ac:dyDescent="0.35">
      <c r="A9" s="2" t="s">
        <v>237</v>
      </c>
      <c r="B9" s="2">
        <v>98000</v>
      </c>
    </row>
    <row r="10" spans="1:6" ht="15" thickBot="1" x14ac:dyDescent="0.35">
      <c r="A10" s="2" t="s">
        <v>238</v>
      </c>
      <c r="B10" s="2">
        <v>56000</v>
      </c>
    </row>
    <row r="11" spans="1:6" ht="15" thickBot="1" x14ac:dyDescent="0.35">
      <c r="A11" s="2" t="s">
        <v>239</v>
      </c>
      <c r="B11" s="2">
        <v>46000</v>
      </c>
    </row>
    <row r="12" spans="1:6" ht="15" thickBot="1" x14ac:dyDescent="0.35">
      <c r="A12" s="2" t="s">
        <v>240</v>
      </c>
      <c r="B12" s="2">
        <v>50000</v>
      </c>
    </row>
    <row r="13" spans="1:6" ht="15" thickBot="1" x14ac:dyDescent="0.35">
      <c r="A13" s="2" t="s">
        <v>241</v>
      </c>
      <c r="B13" s="2">
        <v>120000</v>
      </c>
    </row>
    <row r="14" spans="1:6" ht="15" thickBot="1" x14ac:dyDescent="0.35">
      <c r="A14" s="2" t="s">
        <v>242</v>
      </c>
      <c r="B14" s="2">
        <v>220000</v>
      </c>
    </row>
    <row r="15" spans="1:6" ht="15" thickBot="1" x14ac:dyDescent="0.35">
      <c r="A15" s="2" t="s">
        <v>243</v>
      </c>
      <c r="B15" s="2">
        <v>56000</v>
      </c>
    </row>
    <row r="16" spans="1:6" ht="15" thickBot="1" x14ac:dyDescent="0.35">
      <c r="A16" s="2" t="s">
        <v>244</v>
      </c>
      <c r="B16" s="2">
        <v>46000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</vt:lpstr>
      <vt:lpstr>XLOOKUP_Dynamic</vt:lpstr>
      <vt:lpstr>Xlookup - IF NOT FOUND</vt:lpstr>
      <vt:lpstr>MatchType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2025-09-20T18:48:27Z</dcterms:created>
  <dcterms:modified xsi:type="dcterms:W3CDTF">2025-09-20T19:48:58Z</dcterms:modified>
</cp:coreProperties>
</file>