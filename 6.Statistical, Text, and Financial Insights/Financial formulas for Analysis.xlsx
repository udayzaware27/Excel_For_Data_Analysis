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6\"/>
    </mc:Choice>
  </mc:AlternateContent>
  <xr:revisionPtr revIDLastSave="0" documentId="13_ncr:1_{C018EE17-8464-4965-9496-DB2EAAAB289B}" xr6:coauthVersionLast="47" xr6:coauthVersionMax="47" xr10:uidLastSave="{00000000-0000-0000-0000-000000000000}"/>
  <bookViews>
    <workbookView xWindow="-108" yWindow="-108" windowWidth="23256" windowHeight="12456" xr2:uid="{6C7A0A5C-82A4-4D60-AC02-5E768A2EA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2" i="1"/>
  <c r="C6" i="1"/>
  <c r="C8" i="1" s="1"/>
  <c r="C10" i="1" s="1"/>
</calcChain>
</file>

<file path=xl/sharedStrings.xml><?xml version="1.0" encoding="utf-8"?>
<sst xmlns="http://schemas.openxmlformats.org/spreadsheetml/2006/main" count="10" uniqueCount="9">
  <si>
    <t>PERIOD</t>
  </si>
  <si>
    <t>PPMT</t>
  </si>
  <si>
    <t>IPMT</t>
  </si>
  <si>
    <t>LOAN AMOUNT</t>
  </si>
  <si>
    <t>RATE</t>
  </si>
  <si>
    <t>LOAN PERIOD IN MONTHS</t>
  </si>
  <si>
    <t>EMI /PMT</t>
  </si>
  <si>
    <t>Total Paid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</si>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</sst>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8" fontId="1" fillId="0" borderId="0" xfId="0" applyNumberFormat="1" applyFont="1" applyAlignment="1">
      <alignment horizontal="left" vertical="center" wrapText="1"/>
    </xf>
    <xf numFmtId="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8" fontId="1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8" fontId="1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7ED2-00E0-43B1-BB77-5995CF488AC3}">
  <dimension ref="A1:Z1000"/>
  <sheetViews>
    <sheetView tabSelected="1" zoomScale="130" zoomScaleNormal="130" workbookViewId="0">
      <selection activeCell="B13" sqref="B13"/>
    </sheetView>
  </sheetViews>
  <sheetFormatPr defaultRowHeight="14.4" x14ac:dyDescent="0.3"/>
  <cols>
    <col min="1" max="1" width="8.88671875" style="2"/>
    <col min="2" max="2" width="22.6640625" style="2" bestFit="1" customWidth="1"/>
    <col min="3" max="3" width="13.33203125" style="2" bestFit="1" customWidth="1"/>
    <col min="4" max="4" width="8.88671875" style="2"/>
    <col min="5" max="5" width="8.5546875" style="2" customWidth="1"/>
    <col min="6" max="6" width="11.44140625" style="2" customWidth="1"/>
    <col min="7" max="7" width="8.88671875" style="2"/>
    <col min="8" max="8" width="7.33203125" style="2" bestFit="1" customWidth="1"/>
    <col min="9" max="9" width="10.77734375" style="2" bestFit="1" customWidth="1"/>
    <col min="10" max="16384" width="8.88671875" style="2"/>
  </cols>
  <sheetData>
    <row r="1" spans="1:26" x14ac:dyDescent="0.3">
      <c r="A1" s="1"/>
      <c r="B1" s="1"/>
      <c r="C1" s="1"/>
      <c r="D1" s="1"/>
      <c r="E1" s="11" t="s">
        <v>0</v>
      </c>
      <c r="F1" s="11" t="s">
        <v>1</v>
      </c>
      <c r="G1" s="6"/>
      <c r="H1" s="11" t="s">
        <v>0</v>
      </c>
      <c r="I1" s="11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5" t="s">
        <v>3</v>
      </c>
      <c r="C2" s="1">
        <v>2000000</v>
      </c>
      <c r="D2" s="1"/>
      <c r="E2" s="9">
        <v>1</v>
      </c>
      <c r="F2" s="10">
        <f>PPMT($C$3/12,E2,$C$4,-$C$2)</f>
        <v>26516.710452708016</v>
      </c>
      <c r="G2" s="1"/>
      <c r="H2" s="7">
        <v>1</v>
      </c>
      <c r="I2" s="8">
        <f>IPMT($C$3/12,H2,$C$4,-$C$2)</f>
        <v>15000.000000000002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5" t="s">
        <v>4</v>
      </c>
      <c r="C3" s="4">
        <v>0.09</v>
      </c>
      <c r="D3" s="1"/>
      <c r="E3" s="9">
        <v>2</v>
      </c>
      <c r="F3" s="10">
        <f t="shared" ref="F3:F61" si="0">PPMT($C$3/12,E3,$C$4,-$C$2)</f>
        <v>26715.585781103324</v>
      </c>
      <c r="G3" s="1"/>
      <c r="H3" s="7">
        <v>2</v>
      </c>
      <c r="I3" s="8">
        <f t="shared" ref="I3:I61" si="1">IPMT($C$3/12,H3,$C$4,-$C$2)</f>
        <v>14801.12467160469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5" t="s">
        <v>5</v>
      </c>
      <c r="C4" s="1">
        <v>60</v>
      </c>
      <c r="D4" s="1"/>
      <c r="E4" s="9">
        <v>3</v>
      </c>
      <c r="F4" s="10">
        <f t="shared" si="0"/>
        <v>26915.952674461605</v>
      </c>
      <c r="G4" s="1"/>
      <c r="H4" s="7">
        <v>3</v>
      </c>
      <c r="I4" s="8">
        <f t="shared" si="1"/>
        <v>14600.757778246416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5"/>
      <c r="C5" s="1"/>
      <c r="D5" s="1"/>
      <c r="E5" s="9">
        <v>4</v>
      </c>
      <c r="F5" s="10">
        <f t="shared" si="0"/>
        <v>27117.822319520066</v>
      </c>
      <c r="G5" s="1"/>
      <c r="H5" s="7">
        <v>4</v>
      </c>
      <c r="I5" s="8">
        <f t="shared" si="1"/>
        <v>14398.888133187953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2" t="s">
        <v>6</v>
      </c>
      <c r="C6" s="3">
        <f>PMT(C3/12,C4,-C2)</f>
        <v>41516.710452708016</v>
      </c>
      <c r="D6" s="1"/>
      <c r="E6" s="9">
        <v>5</v>
      </c>
      <c r="F6" s="10">
        <f t="shared" si="0"/>
        <v>27321.205986916462</v>
      </c>
      <c r="G6" s="1"/>
      <c r="H6" s="7">
        <v>5</v>
      </c>
      <c r="I6" s="8">
        <f t="shared" si="1"/>
        <v>14195.504465791553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5"/>
      <c r="C7" s="1"/>
      <c r="D7" s="1"/>
      <c r="E7" s="9">
        <v>6</v>
      </c>
      <c r="F7" s="10">
        <f t="shared" si="0"/>
        <v>27526.115031818343</v>
      </c>
      <c r="G7" s="1"/>
      <c r="H7" s="7">
        <v>6</v>
      </c>
      <c r="I7" s="8">
        <f t="shared" si="1"/>
        <v>13990.59542088968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5" t="s">
        <v>7</v>
      </c>
      <c r="C8" s="3">
        <f>C6*C4</f>
        <v>2491002.6271624807</v>
      </c>
      <c r="D8" s="1"/>
      <c r="E8" s="9">
        <v>7</v>
      </c>
      <c r="F8" s="10">
        <f t="shared" si="0"/>
        <v>27732.560894556977</v>
      </c>
      <c r="G8" s="1"/>
      <c r="H8" s="7">
        <v>7</v>
      </c>
      <c r="I8" s="8">
        <f t="shared" si="1"/>
        <v>13784.149558151041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5"/>
      <c r="C9" s="1"/>
      <c r="D9" s="1"/>
      <c r="E9" s="9">
        <v>8</v>
      </c>
      <c r="F9" s="10">
        <f t="shared" si="0"/>
        <v>27940.555101266153</v>
      </c>
      <c r="G9" s="1"/>
      <c r="H9" s="7">
        <v>8</v>
      </c>
      <c r="I9" s="8">
        <f t="shared" si="1"/>
        <v>13576.155351441865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5" t="s">
        <v>8</v>
      </c>
      <c r="C10" s="3">
        <f>C8-C2</f>
        <v>491002.62716248073</v>
      </c>
      <c r="D10" s="1"/>
      <c r="E10" s="9">
        <v>9</v>
      </c>
      <c r="F10" s="10">
        <f t="shared" si="0"/>
        <v>28150.10926452565</v>
      </c>
      <c r="G10" s="1"/>
      <c r="H10" s="7">
        <v>9</v>
      </c>
      <c r="I10" s="8">
        <f t="shared" si="1"/>
        <v>13366.601188182369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9">
        <v>10</v>
      </c>
      <c r="F11" s="10">
        <f t="shared" si="0"/>
        <v>28361.235084009593</v>
      </c>
      <c r="G11" s="1"/>
      <c r="H11" s="7">
        <v>10</v>
      </c>
      <c r="I11" s="8">
        <f t="shared" si="1"/>
        <v>13155.475368698428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/>
      <c r="B12" s="1"/>
      <c r="C12" s="1"/>
      <c r="D12" s="1"/>
      <c r="E12" s="9">
        <v>11</v>
      </c>
      <c r="F12" s="10">
        <f t="shared" si="0"/>
        <v>28573.944347139666</v>
      </c>
      <c r="G12" s="1"/>
      <c r="H12" s="7">
        <v>11</v>
      </c>
      <c r="I12" s="8">
        <f t="shared" si="1"/>
        <v>12942.766105568353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/>
      <c r="B13" s="1"/>
      <c r="C13" s="1"/>
      <c r="D13" s="1"/>
      <c r="E13" s="9">
        <v>12</v>
      </c>
      <c r="F13" s="10">
        <f t="shared" si="0"/>
        <v>28788.248929743211</v>
      </c>
      <c r="G13" s="1"/>
      <c r="H13" s="7">
        <v>12</v>
      </c>
      <c r="I13" s="8">
        <f t="shared" si="1"/>
        <v>12728.461522964808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/>
      <c r="B14" s="4"/>
      <c r="C14" s="1"/>
      <c r="D14" s="1"/>
      <c r="E14" s="9">
        <v>13</v>
      </c>
      <c r="F14" s="10">
        <f t="shared" si="0"/>
        <v>29004.160796716285</v>
      </c>
      <c r="G14" s="1"/>
      <c r="H14" s="7">
        <v>13</v>
      </c>
      <c r="I14" s="8">
        <f t="shared" si="1"/>
        <v>12512.54965599173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/>
      <c r="B15" s="1"/>
      <c r="C15" s="1"/>
      <c r="D15" s="1"/>
      <c r="E15" s="9">
        <v>14</v>
      </c>
      <c r="F15" s="10">
        <f t="shared" si="0"/>
        <v>29221.69200269166</v>
      </c>
      <c r="G15" s="1"/>
      <c r="H15" s="7">
        <v>14</v>
      </c>
      <c r="I15" s="8">
        <f t="shared" si="1"/>
        <v>12295.018450016363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1"/>
      <c r="C16" s="1"/>
      <c r="D16" s="1"/>
      <c r="E16" s="9">
        <v>15</v>
      </c>
      <c r="F16" s="10">
        <f t="shared" si="0"/>
        <v>29440.854692711848</v>
      </c>
      <c r="G16" s="1"/>
      <c r="H16" s="7">
        <v>15</v>
      </c>
      <c r="I16" s="8">
        <f t="shared" si="1"/>
        <v>12075.855759996173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1"/>
      <c r="C17" s="1"/>
      <c r="D17" s="1"/>
      <c r="E17" s="9">
        <v>16</v>
      </c>
      <c r="F17" s="10">
        <f t="shared" si="0"/>
        <v>29661.661102907183</v>
      </c>
      <c r="G17" s="1"/>
      <c r="H17" s="7">
        <v>16</v>
      </c>
      <c r="I17" s="8">
        <f t="shared" si="1"/>
        <v>11855.049349800833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1"/>
      <c r="C18" s="1"/>
      <c r="D18" s="1"/>
      <c r="E18" s="9">
        <v>17</v>
      </c>
      <c r="F18" s="10">
        <f t="shared" si="0"/>
        <v>29884.123561178989</v>
      </c>
      <c r="G18" s="1"/>
      <c r="H18" s="7">
        <v>17</v>
      </c>
      <c r="I18" s="8">
        <f t="shared" si="1"/>
        <v>11632.58689152903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1"/>
      <c r="C19" s="1"/>
      <c r="D19" s="1"/>
      <c r="E19" s="9">
        <v>18</v>
      </c>
      <c r="F19" s="10">
        <f t="shared" si="0"/>
        <v>30108.254487887829</v>
      </c>
      <c r="G19" s="1"/>
      <c r="H19" s="7">
        <v>18</v>
      </c>
      <c r="I19" s="8">
        <f t="shared" si="1"/>
        <v>11408.455964820188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1"/>
      <c r="C20" s="1"/>
      <c r="D20" s="1"/>
      <c r="E20" s="9">
        <v>19</v>
      </c>
      <c r="F20" s="10">
        <f t="shared" si="0"/>
        <v>30334.06639654699</v>
      </c>
      <c r="G20" s="1"/>
      <c r="H20" s="7">
        <v>19</v>
      </c>
      <c r="I20" s="8">
        <f t="shared" si="1"/>
        <v>11182.644056161027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9">
        <v>20</v>
      </c>
      <c r="F21" s="10">
        <f t="shared" si="0"/>
        <v>30561.57189452109</v>
      </c>
      <c r="G21" s="1"/>
      <c r="H21" s="7">
        <v>20</v>
      </c>
      <c r="I21" s="8">
        <f t="shared" si="1"/>
        <v>10955.138558186929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"/>
      <c r="D22" s="1"/>
      <c r="E22" s="9">
        <v>21</v>
      </c>
      <c r="F22" s="10">
        <f t="shared" si="0"/>
        <v>30790.783683729998</v>
      </c>
      <c r="G22" s="1"/>
      <c r="H22" s="7">
        <v>21</v>
      </c>
      <c r="I22" s="8">
        <f t="shared" si="1"/>
        <v>10725.926768978017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1"/>
      <c r="C23" s="1"/>
      <c r="D23" s="1"/>
      <c r="E23" s="9">
        <v>22</v>
      </c>
      <c r="F23" s="10">
        <f t="shared" si="0"/>
        <v>31021.714561357974</v>
      </c>
      <c r="G23" s="1"/>
      <c r="H23" s="7">
        <v>22</v>
      </c>
      <c r="I23" s="8">
        <f t="shared" si="1"/>
        <v>10494.995891350045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1"/>
      <c r="D24" s="1"/>
      <c r="E24" s="9">
        <v>23</v>
      </c>
      <c r="F24" s="10">
        <f t="shared" si="0"/>
        <v>31254.377420568162</v>
      </c>
      <c r="G24" s="1"/>
      <c r="H24" s="7">
        <v>23</v>
      </c>
      <c r="I24" s="8">
        <f t="shared" si="1"/>
        <v>10262.333032139859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1"/>
      <c r="C25" s="1"/>
      <c r="D25" s="1"/>
      <c r="E25" s="9">
        <v>24</v>
      </c>
      <c r="F25" s="10">
        <f t="shared" si="0"/>
        <v>31488.785251222424</v>
      </c>
      <c r="G25" s="1"/>
      <c r="H25" s="7">
        <v>24</v>
      </c>
      <c r="I25" s="8">
        <f t="shared" si="1"/>
        <v>10027.925201485597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1"/>
      <c r="D26" s="1"/>
      <c r="E26" s="9">
        <v>25</v>
      </c>
      <c r="F26" s="10">
        <f t="shared" si="0"/>
        <v>31724.951140606594</v>
      </c>
      <c r="G26" s="1"/>
      <c r="H26" s="7">
        <v>25</v>
      </c>
      <c r="I26" s="8">
        <f t="shared" si="1"/>
        <v>9791.7593121014288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1"/>
      <c r="D27" s="1"/>
      <c r="E27" s="9">
        <v>26</v>
      </c>
      <c r="F27" s="10">
        <f t="shared" si="0"/>
        <v>31962.888274161138</v>
      </c>
      <c r="G27" s="1"/>
      <c r="H27" s="7">
        <v>26</v>
      </c>
      <c r="I27" s="8">
        <f t="shared" si="1"/>
        <v>9553.8221785468795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1"/>
      <c r="D28" s="1"/>
      <c r="E28" s="9">
        <v>27</v>
      </c>
      <c r="F28" s="10">
        <f t="shared" si="0"/>
        <v>32202.609936217345</v>
      </c>
      <c r="G28" s="1"/>
      <c r="H28" s="7">
        <v>27</v>
      </c>
      <c r="I28" s="8">
        <f t="shared" si="1"/>
        <v>9314.1005164906692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9">
        <v>28</v>
      </c>
      <c r="F29" s="10">
        <f t="shared" si="0"/>
        <v>32444.129510738978</v>
      </c>
      <c r="G29" s="1"/>
      <c r="H29" s="7">
        <v>28</v>
      </c>
      <c r="I29" s="8">
        <f t="shared" si="1"/>
        <v>9072.5809419690413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1"/>
      <c r="C30" s="1"/>
      <c r="D30" s="1"/>
      <c r="E30" s="9">
        <v>29</v>
      </c>
      <c r="F30" s="10">
        <f t="shared" si="0"/>
        <v>32687.46048206952</v>
      </c>
      <c r="G30" s="1"/>
      <c r="H30" s="7">
        <v>29</v>
      </c>
      <c r="I30" s="8">
        <f t="shared" si="1"/>
        <v>8829.2499706384988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"/>
      <c r="D31" s="1"/>
      <c r="E31" s="9">
        <v>30</v>
      </c>
      <c r="F31" s="10">
        <f t="shared" si="0"/>
        <v>32932.616435685042</v>
      </c>
      <c r="G31" s="1"/>
      <c r="H31" s="7">
        <v>30</v>
      </c>
      <c r="I31" s="8">
        <f t="shared" si="1"/>
        <v>8584.0940170229769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1"/>
      <c r="C32" s="1"/>
      <c r="D32" s="1"/>
      <c r="E32" s="9">
        <v>31</v>
      </c>
      <c r="F32" s="10">
        <f t="shared" si="0"/>
        <v>33179.61105895268</v>
      </c>
      <c r="G32" s="1"/>
      <c r="H32" s="7">
        <v>31</v>
      </c>
      <c r="I32" s="8">
        <f t="shared" si="1"/>
        <v>8337.0993937553394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1"/>
      <c r="D33" s="1"/>
      <c r="E33" s="9">
        <v>32</v>
      </c>
      <c r="F33" s="10">
        <f t="shared" si="0"/>
        <v>33428.458141894829</v>
      </c>
      <c r="G33" s="1"/>
      <c r="H33" s="7">
        <v>32</v>
      </c>
      <c r="I33" s="8">
        <f t="shared" si="1"/>
        <v>8088.2523108131936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1"/>
      <c r="D34" s="1"/>
      <c r="E34" s="9">
        <v>33</v>
      </c>
      <c r="F34" s="10">
        <f t="shared" si="0"/>
        <v>33679.171577959038</v>
      </c>
      <c r="G34" s="1"/>
      <c r="H34" s="7">
        <v>33</v>
      </c>
      <c r="I34" s="8">
        <f t="shared" si="1"/>
        <v>7837.5388747489824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9">
        <v>34</v>
      </c>
      <c r="F35" s="10">
        <f t="shared" si="0"/>
        <v>33931.765364793726</v>
      </c>
      <c r="G35" s="1"/>
      <c r="H35" s="7">
        <v>34</v>
      </c>
      <c r="I35" s="8">
        <f t="shared" si="1"/>
        <v>7584.9450879142887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9">
        <v>35</v>
      </c>
      <c r="F36" s="10">
        <f t="shared" si="0"/>
        <v>34186.253605029684</v>
      </c>
      <c r="G36" s="1"/>
      <c r="H36" s="7">
        <v>35</v>
      </c>
      <c r="I36" s="8">
        <f t="shared" si="1"/>
        <v>7330.4568476783379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9">
        <v>36</v>
      </c>
      <c r="F37" s="10">
        <f t="shared" si="0"/>
        <v>34442.650507067403</v>
      </c>
      <c r="G37" s="1"/>
      <c r="H37" s="7">
        <v>36</v>
      </c>
      <c r="I37" s="8">
        <f t="shared" si="1"/>
        <v>7074.0599456406135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9">
        <v>37</v>
      </c>
      <c r="F38" s="10">
        <f t="shared" si="0"/>
        <v>34700.970385870409</v>
      </c>
      <c r="G38" s="1"/>
      <c r="H38" s="7">
        <v>37</v>
      </c>
      <c r="I38" s="8">
        <f t="shared" si="1"/>
        <v>6815.7400668376085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9">
        <v>38</v>
      </c>
      <c r="F39" s="10">
        <f t="shared" si="0"/>
        <v>34961.227663764439</v>
      </c>
      <c r="G39" s="1"/>
      <c r="H39" s="7">
        <v>38</v>
      </c>
      <c r="I39" s="8">
        <f t="shared" si="1"/>
        <v>6555.4827889435801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9">
        <v>39</v>
      </c>
      <c r="F40" s="10">
        <f t="shared" si="0"/>
        <v>35223.436871242673</v>
      </c>
      <c r="G40" s="1"/>
      <c r="H40" s="7">
        <v>39</v>
      </c>
      <c r="I40" s="8">
        <f t="shared" si="1"/>
        <v>6293.273581465347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9">
        <v>40</v>
      </c>
      <c r="F41" s="10">
        <f t="shared" si="0"/>
        <v>35487.612647776994</v>
      </c>
      <c r="G41" s="1"/>
      <c r="H41" s="7">
        <v>40</v>
      </c>
      <c r="I41" s="8">
        <f t="shared" si="1"/>
        <v>6029.097804931027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9">
        <v>41</v>
      </c>
      <c r="F42" s="10">
        <f t="shared" si="0"/>
        <v>35753.769742635312</v>
      </c>
      <c r="G42" s="1"/>
      <c r="H42" s="7">
        <v>41</v>
      </c>
      <c r="I42" s="8">
        <f t="shared" si="1"/>
        <v>5762.9407100726994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9">
        <v>42</v>
      </c>
      <c r="F43" s="10">
        <f t="shared" si="0"/>
        <v>36021.923015705084</v>
      </c>
      <c r="G43" s="1"/>
      <c r="H43" s="7">
        <v>42</v>
      </c>
      <c r="I43" s="8">
        <f t="shared" si="1"/>
        <v>5494.7874370029349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9">
        <v>43</v>
      </c>
      <c r="F44" s="10">
        <f t="shared" si="0"/>
        <v>36292.087438322873</v>
      </c>
      <c r="G44" s="1"/>
      <c r="H44" s="7">
        <v>43</v>
      </c>
      <c r="I44" s="8">
        <f t="shared" si="1"/>
        <v>5224.6230143851462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9">
        <v>44</v>
      </c>
      <c r="F45" s="10">
        <f t="shared" si="0"/>
        <v>36564.278094110297</v>
      </c>
      <c r="G45" s="1"/>
      <c r="H45" s="7">
        <v>44</v>
      </c>
      <c r="I45" s="8">
        <f t="shared" si="1"/>
        <v>4952.4323585977245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9">
        <v>45</v>
      </c>
      <c r="F46" s="10">
        <f t="shared" si="0"/>
        <v>36838.510179816119</v>
      </c>
      <c r="G46" s="1"/>
      <c r="H46" s="7">
        <v>45</v>
      </c>
      <c r="I46" s="8">
        <f t="shared" si="1"/>
        <v>4678.2002728918978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9">
        <v>46</v>
      </c>
      <c r="F47" s="10">
        <f t="shared" si="0"/>
        <v>37114.799006164743</v>
      </c>
      <c r="G47" s="1"/>
      <c r="H47" s="7">
        <v>46</v>
      </c>
      <c r="I47" s="8">
        <f t="shared" si="1"/>
        <v>4401.9114465432776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9">
        <v>47</v>
      </c>
      <c r="F48" s="10">
        <f t="shared" si="0"/>
        <v>37393.159998710973</v>
      </c>
      <c r="G48" s="1"/>
      <c r="H48" s="7">
        <v>47</v>
      </c>
      <c r="I48" s="8">
        <f t="shared" si="1"/>
        <v>4123.5504539970416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9">
        <v>48</v>
      </c>
      <c r="F49" s="10">
        <f t="shared" si="0"/>
        <v>37673.608698701311</v>
      </c>
      <c r="G49" s="1"/>
      <c r="H49" s="7">
        <v>48</v>
      </c>
      <c r="I49" s="8">
        <f t="shared" si="1"/>
        <v>3843.1017540067096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9">
        <v>49</v>
      </c>
      <c r="F50" s="10">
        <f t="shared" si="0"/>
        <v>37956.160763941574</v>
      </c>
      <c r="G50" s="1"/>
      <c r="H50" s="7">
        <v>49</v>
      </c>
      <c r="I50" s="8">
        <f t="shared" si="1"/>
        <v>3560.5496887664494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"/>
      <c r="B51" s="1"/>
      <c r="C51" s="1"/>
      <c r="D51" s="1"/>
      <c r="E51" s="9">
        <v>50</v>
      </c>
      <c r="F51" s="10">
        <f t="shared" si="0"/>
        <v>38240.831969671126</v>
      </c>
      <c r="G51" s="1"/>
      <c r="H51" s="7">
        <v>50</v>
      </c>
      <c r="I51" s="8">
        <f t="shared" si="1"/>
        <v>3275.8784830368877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"/>
      <c r="B52" s="1"/>
      <c r="C52" s="1"/>
      <c r="D52" s="1"/>
      <c r="E52" s="9">
        <v>51</v>
      </c>
      <c r="F52" s="10">
        <f t="shared" si="0"/>
        <v>38527.638209443663</v>
      </c>
      <c r="G52" s="1"/>
      <c r="H52" s="7">
        <v>51</v>
      </c>
      <c r="I52" s="8">
        <f t="shared" si="1"/>
        <v>2989.0722432643538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"/>
      <c r="B53" s="1"/>
      <c r="C53" s="1"/>
      <c r="D53" s="1"/>
      <c r="E53" s="9">
        <v>52</v>
      </c>
      <c r="F53" s="10">
        <f t="shared" si="0"/>
        <v>38816.595496014495</v>
      </c>
      <c r="G53" s="1"/>
      <c r="H53" s="7">
        <v>52</v>
      </c>
      <c r="I53" s="8">
        <f t="shared" si="1"/>
        <v>2700.1149566935264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"/>
      <c r="B54" s="1"/>
      <c r="C54" s="1"/>
      <c r="D54" s="1"/>
      <c r="E54" s="9">
        <v>53</v>
      </c>
      <c r="F54" s="10">
        <f t="shared" si="0"/>
        <v>39107.719962234602</v>
      </c>
      <c r="G54" s="1"/>
      <c r="H54" s="7">
        <v>53</v>
      </c>
      <c r="I54" s="8">
        <f t="shared" si="1"/>
        <v>2408.9904904734176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"/>
      <c r="B55" s="1"/>
      <c r="C55" s="1"/>
      <c r="D55" s="1"/>
      <c r="E55" s="9">
        <v>54</v>
      </c>
      <c r="F55" s="10">
        <f t="shared" si="0"/>
        <v>39401.027861951356</v>
      </c>
      <c r="G55" s="1"/>
      <c r="H55" s="7">
        <v>54</v>
      </c>
      <c r="I55" s="8">
        <f t="shared" si="1"/>
        <v>2115.6825907566581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"/>
      <c r="B56" s="1"/>
      <c r="C56" s="1"/>
      <c r="D56" s="1"/>
      <c r="E56" s="9">
        <v>55</v>
      </c>
      <c r="F56" s="10">
        <f t="shared" si="0"/>
        <v>39696.535570915992</v>
      </c>
      <c r="G56" s="1"/>
      <c r="H56" s="7">
        <v>55</v>
      </c>
      <c r="I56" s="8">
        <f t="shared" si="1"/>
        <v>1820.1748817920231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"/>
      <c r="B57" s="1"/>
      <c r="C57" s="1"/>
      <c r="D57" s="1"/>
      <c r="E57" s="9">
        <v>56</v>
      </c>
      <c r="F57" s="10">
        <f t="shared" si="0"/>
        <v>39994.259587697867</v>
      </c>
      <c r="G57" s="1"/>
      <c r="H57" s="7">
        <v>56</v>
      </c>
      <c r="I57" s="8">
        <f t="shared" si="1"/>
        <v>1522.4508650101532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"/>
      <c r="B58" s="1"/>
      <c r="C58" s="1"/>
      <c r="D58" s="1"/>
      <c r="E58" s="9">
        <v>57</v>
      </c>
      <c r="F58" s="10">
        <f t="shared" si="0"/>
        <v>40294.216534605599</v>
      </c>
      <c r="G58" s="1"/>
      <c r="H58" s="7">
        <v>57</v>
      </c>
      <c r="I58" s="8">
        <f t="shared" si="1"/>
        <v>1222.4939181024192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"/>
      <c r="B59" s="1"/>
      <c r="C59" s="1"/>
      <c r="D59" s="1"/>
      <c r="E59" s="9">
        <v>58</v>
      </c>
      <c r="F59" s="10">
        <f t="shared" si="0"/>
        <v>40596.423158615144</v>
      </c>
      <c r="G59" s="1"/>
      <c r="H59" s="7">
        <v>58</v>
      </c>
      <c r="I59" s="8">
        <f t="shared" si="1"/>
        <v>920.287294092877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"/>
      <c r="B60" s="1"/>
      <c r="C60" s="1"/>
      <c r="D60" s="1"/>
      <c r="E60" s="9">
        <v>59</v>
      </c>
      <c r="F60" s="10">
        <f t="shared" si="0"/>
        <v>40900.89633230475</v>
      </c>
      <c r="G60" s="1"/>
      <c r="H60" s="7">
        <v>59</v>
      </c>
      <c r="I60" s="8">
        <f t="shared" si="1"/>
        <v>615.81412040326359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"/>
      <c r="B61" s="1"/>
      <c r="C61" s="1"/>
      <c r="D61" s="1"/>
      <c r="E61" s="9">
        <v>60</v>
      </c>
      <c r="F61" s="10">
        <f t="shared" si="0"/>
        <v>41207.65305479704</v>
      </c>
      <c r="G61" s="1"/>
      <c r="H61" s="7">
        <v>60</v>
      </c>
      <c r="I61" s="8">
        <f t="shared" si="1"/>
        <v>309.05739791097784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"/>
      <c r="B62" s="1"/>
      <c r="C62" s="1"/>
      <c r="D62" s="1"/>
      <c r="E62" s="1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"/>
      <c r="B63" s="1"/>
      <c r="C63" s="1"/>
      <c r="D63" s="1"/>
      <c r="E63" s="1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"/>
      <c r="B64" s="1"/>
      <c r="C64" s="1"/>
      <c r="D64" s="1"/>
      <c r="E64" s="1"/>
      <c r="F64" s="1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"/>
      <c r="B65" s="1"/>
      <c r="C65" s="1"/>
      <c r="D65" s="1"/>
      <c r="E65" s="1"/>
      <c r="F65" s="1"/>
      <c r="G65" s="1"/>
      <c r="H65" s="1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"/>
      <c r="B66" s="1"/>
      <c r="C66" s="1"/>
      <c r="D66" s="1"/>
      <c r="E66" s="1"/>
      <c r="F66" s="1"/>
      <c r="G66" s="1"/>
      <c r="H66" s="1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"/>
      <c r="B67" s="1"/>
      <c r="C67" s="1"/>
      <c r="D67" s="1"/>
      <c r="E67" s="1"/>
      <c r="F67" s="1"/>
      <c r="G67" s="1"/>
      <c r="H67" s="1"/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"/>
      <c r="B68" s="1"/>
      <c r="C68" s="1"/>
      <c r="D68" s="1"/>
      <c r="E68" s="1"/>
      <c r="F68" s="1"/>
      <c r="G68" s="1"/>
      <c r="H68" s="1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"/>
      <c r="B69" s="1"/>
      <c r="C69" s="1"/>
      <c r="D69" s="1"/>
      <c r="E69" s="1"/>
      <c r="F69" s="1"/>
      <c r="G69" s="1"/>
      <c r="H69" s="1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"/>
      <c r="B70" s="1"/>
      <c r="C70" s="1"/>
      <c r="D70" s="1"/>
      <c r="E70" s="1"/>
      <c r="F70" s="1"/>
      <c r="G70" s="1"/>
      <c r="H70" s="1"/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"/>
      <c r="B71" s="1"/>
      <c r="C71" s="1"/>
      <c r="D71" s="1"/>
      <c r="E71" s="1"/>
      <c r="F71" s="1"/>
      <c r="G71" s="1"/>
      <c r="H71" s="1"/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"/>
      <c r="B72" s="1"/>
      <c r="C72" s="1"/>
      <c r="D72" s="1"/>
      <c r="E72" s="1"/>
      <c r="F72" s="1"/>
      <c r="G72" s="1"/>
      <c r="H72" s="1"/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"/>
      <c r="B73" s="1"/>
      <c r="C73" s="1"/>
      <c r="D73" s="1"/>
      <c r="E73" s="1"/>
      <c r="F73" s="1"/>
      <c r="G73" s="1"/>
      <c r="H73" s="1"/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"/>
      <c r="B74" s="1"/>
      <c r="C74" s="1"/>
      <c r="D74" s="1"/>
      <c r="E74" s="1"/>
      <c r="F74" s="1"/>
      <c r="G74" s="1"/>
      <c r="H74" s="1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"/>
      <c r="B75" s="1"/>
      <c r="C75" s="1"/>
      <c r="D75" s="1"/>
      <c r="E75" s="1"/>
      <c r="F75" s="1"/>
      <c r="G75" s="1"/>
      <c r="H75" s="1"/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"/>
      <c r="B76" s="1"/>
      <c r="C76" s="1"/>
      <c r="D76" s="1"/>
      <c r="E76" s="1"/>
      <c r="F76" s="1"/>
      <c r="G76" s="1"/>
      <c r="H76" s="1"/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"/>
      <c r="B77" s="1"/>
      <c r="C77" s="1"/>
      <c r="D77" s="1"/>
      <c r="E77" s="1"/>
      <c r="F77" s="1"/>
      <c r="G77" s="1"/>
      <c r="H77" s="1"/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"/>
      <c r="B78" s="1"/>
      <c r="C78" s="1"/>
      <c r="D78" s="1"/>
      <c r="E78" s="1"/>
      <c r="F78" s="1"/>
      <c r="G78" s="1"/>
      <c r="H78" s="1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"/>
      <c r="B79" s="1"/>
      <c r="C79" s="1"/>
      <c r="D79" s="1"/>
      <c r="E79" s="1"/>
      <c r="F79" s="1"/>
      <c r="G79" s="1"/>
      <c r="H79" s="1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"/>
      <c r="B80" s="1"/>
      <c r="C80" s="1"/>
      <c r="D80" s="1"/>
      <c r="E80" s="1"/>
      <c r="F80" s="1"/>
      <c r="G80" s="1"/>
      <c r="H80" s="1"/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"/>
      <c r="B81" s="1"/>
      <c r="C81" s="1"/>
      <c r="D81" s="1"/>
      <c r="E81" s="1"/>
      <c r="F81" s="1"/>
      <c r="G81" s="1"/>
      <c r="H81" s="1"/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"/>
      <c r="B82" s="1"/>
      <c r="C82" s="1"/>
      <c r="D82" s="1"/>
      <c r="E82" s="1"/>
      <c r="F82" s="1"/>
      <c r="G82" s="1"/>
      <c r="H82" s="1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"/>
      <c r="B83" s="1"/>
      <c r="C83" s="1"/>
      <c r="D83" s="1"/>
      <c r="E83" s="1"/>
      <c r="F83" s="1"/>
      <c r="G83" s="1"/>
      <c r="H83" s="1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"/>
      <c r="B84" s="1"/>
      <c r="C84" s="1"/>
      <c r="D84" s="1"/>
      <c r="E84" s="1"/>
      <c r="F84" s="1"/>
      <c r="G84" s="1"/>
      <c r="H84" s="1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"/>
      <c r="B85" s="1"/>
      <c r="C85" s="1"/>
      <c r="D85" s="1"/>
      <c r="E85" s="1"/>
      <c r="F85" s="1"/>
      <c r="G85" s="1"/>
      <c r="H85" s="1"/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"/>
      <c r="B86" s="1"/>
      <c r="C86" s="1"/>
      <c r="D86" s="1"/>
      <c r="E86" s="1"/>
      <c r="F86" s="1"/>
      <c r="G86" s="1"/>
      <c r="H86" s="1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"/>
      <c r="B87" s="1"/>
      <c r="C87" s="1"/>
      <c r="D87" s="1"/>
      <c r="E87" s="1"/>
      <c r="F87" s="1"/>
      <c r="G87" s="1"/>
      <c r="H87" s="1"/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"/>
      <c r="B88" s="1"/>
      <c r="C88" s="1"/>
      <c r="D88" s="1"/>
      <c r="E88" s="1"/>
      <c r="F88" s="1"/>
      <c r="G88" s="1"/>
      <c r="H88" s="1"/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"/>
      <c r="B89" s="1"/>
      <c r="C89" s="1"/>
      <c r="D89" s="1"/>
      <c r="E89" s="1"/>
      <c r="F89" s="1"/>
      <c r="G89" s="1"/>
      <c r="H89" s="1"/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"/>
      <c r="B90" s="1"/>
      <c r="C90" s="1"/>
      <c r="D90" s="1"/>
      <c r="E90" s="1"/>
      <c r="F90" s="1"/>
      <c r="G90" s="1"/>
      <c r="H90" s="1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"/>
      <c r="B91" s="1"/>
      <c r="C91" s="1"/>
      <c r="D91" s="1"/>
      <c r="E91" s="1"/>
      <c r="F91" s="1"/>
      <c r="G91" s="1"/>
      <c r="H91" s="1"/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"/>
      <c r="B92" s="1"/>
      <c r="C92" s="1"/>
      <c r="D92" s="1"/>
      <c r="E92" s="1"/>
      <c r="F92" s="1"/>
      <c r="G92" s="1"/>
      <c r="H92" s="1"/>
      <c r="I92" s="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"/>
      <c r="B93" s="1"/>
      <c r="C93" s="1"/>
      <c r="D93" s="1"/>
      <c r="E93" s="1"/>
      <c r="F93" s="1"/>
      <c r="G93" s="1"/>
      <c r="H93" s="1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/>
      <c r="C94" s="1"/>
      <c r="D94" s="1"/>
      <c r="E94" s="1"/>
      <c r="F94" s="1"/>
      <c r="G94" s="1"/>
      <c r="H94" s="1"/>
      <c r="I94" s="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1"/>
      <c r="C98" s="1"/>
      <c r="D98" s="1"/>
      <c r="E98" s="1"/>
      <c r="F98" s="1"/>
      <c r="G98" s="1"/>
      <c r="H98" s="1"/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"/>
      <c r="C99" s="1"/>
      <c r="D99" s="1"/>
      <c r="E99" s="1"/>
      <c r="F99" s="1"/>
      <c r="G99" s="1"/>
      <c r="H99" s="1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"/>
      <c r="C100" s="1"/>
      <c r="D100" s="1"/>
      <c r="E100" s="1"/>
      <c r="F100" s="1"/>
      <c r="G100" s="1"/>
      <c r="H100" s="1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1"/>
      <c r="C101" s="1"/>
      <c r="D101" s="1"/>
      <c r="E101" s="1"/>
      <c r="F101" s="1"/>
      <c r="G101" s="1"/>
      <c r="H101" s="1"/>
      <c r="I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"/>
      <c r="C102" s="1"/>
      <c r="D102" s="1"/>
      <c r="E102" s="1"/>
      <c r="F102" s="1"/>
      <c r="G102" s="1"/>
      <c r="H102" s="1"/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"/>
      <c r="C103" s="1"/>
      <c r="D103" s="1"/>
      <c r="E103" s="1"/>
      <c r="F103" s="1"/>
      <c r="G103" s="1"/>
      <c r="H103" s="1"/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1"/>
      <c r="C104" s="1"/>
      <c r="D104" s="1"/>
      <c r="E104" s="1"/>
      <c r="F104" s="1"/>
      <c r="G104" s="1"/>
      <c r="H104" s="1"/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"/>
      <c r="C105" s="1"/>
      <c r="D105" s="1"/>
      <c r="E105" s="1"/>
      <c r="F105" s="1"/>
      <c r="G105" s="1"/>
      <c r="H105" s="1"/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1"/>
      <c r="C106" s="1"/>
      <c r="D106" s="1"/>
      <c r="E106" s="1"/>
      <c r="F106" s="1"/>
      <c r="G106" s="1"/>
      <c r="H106" s="1"/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1"/>
      <c r="C107" s="1"/>
      <c r="D107" s="1"/>
      <c r="E107" s="1"/>
      <c r="F107" s="1"/>
      <c r="G107" s="1"/>
      <c r="H107" s="1"/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"/>
      <c r="C108" s="1"/>
      <c r="D108" s="1"/>
      <c r="E108" s="1"/>
      <c r="F108" s="1"/>
      <c r="G108" s="1"/>
      <c r="H108" s="1"/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"/>
      <c r="C109" s="1"/>
      <c r="D109" s="1"/>
      <c r="E109" s="1"/>
      <c r="F109" s="1"/>
      <c r="G109" s="1"/>
      <c r="H109" s="1"/>
      <c r="I109" s="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"/>
      <c r="C110" s="1"/>
      <c r="D110" s="1"/>
      <c r="E110" s="1"/>
      <c r="F110" s="1"/>
      <c r="G110" s="1"/>
      <c r="H110" s="1"/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"/>
      <c r="C111" s="1"/>
      <c r="D111" s="1"/>
      <c r="E111" s="1"/>
      <c r="F111" s="1"/>
      <c r="G111" s="1"/>
      <c r="H111" s="1"/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1"/>
      <c r="C112" s="1"/>
      <c r="D112" s="1"/>
      <c r="E112" s="1"/>
      <c r="F112" s="1"/>
      <c r="G112" s="1"/>
      <c r="H112" s="1"/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/>
      <c r="C113" s="1"/>
      <c r="D113" s="1"/>
      <c r="E113" s="1"/>
      <c r="F113" s="1"/>
      <c r="G113" s="1"/>
      <c r="H113" s="1"/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/>
      <c r="C114" s="1"/>
      <c r="D114" s="1"/>
      <c r="E114" s="1"/>
      <c r="F114" s="1"/>
      <c r="G114" s="1"/>
      <c r="H114" s="1"/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2025-09-22T17:52:14Z</dcterms:created>
  <dcterms:modified xsi:type="dcterms:W3CDTF">2025-09-22T18:31:28Z</dcterms:modified>
</cp:coreProperties>
</file>