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1\"/>
    </mc:Choice>
  </mc:AlternateContent>
  <xr:revisionPtr revIDLastSave="0" documentId="13_ncr:1_{009FC486-F467-4DC8-BF42-DE431A3FDC4A}" xr6:coauthVersionLast="47" xr6:coauthVersionMax="47" xr10:uidLastSave="{00000000-0000-0000-0000-000000000000}"/>
  <bookViews>
    <workbookView xWindow="-108" yWindow="-108" windowWidth="23256" windowHeight="12456" xr2:uid="{61CDD1B5-B369-4FA6-B54F-BF7E29544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<sst xmlns="http://schemas.openxmlformats.org/spreadsheetml/2006/main" count="132" uniqueCount="33">
  <si>
    <t>Employee ID</t>
  </si>
  <si>
    <t>Department</t>
  </si>
  <si>
    <t>Monthly Salary</t>
  </si>
  <si>
    <t>Age</t>
  </si>
  <si>
    <t>Years with Company</t>
  </si>
  <si>
    <t>Performance Score</t>
  </si>
  <si>
    <t>HR</t>
  </si>
  <si>
    <t>Sales</t>
  </si>
  <si>
    <t>Marketing</t>
  </si>
  <si>
    <t>Finance</t>
  </si>
  <si>
    <t>Employee Type</t>
  </si>
  <si>
    <t>Performance Status</t>
  </si>
  <si>
    <t>P.Score Criteria</t>
  </si>
  <si>
    <t>Status</t>
  </si>
  <si>
    <t>Great than equal to 8</t>
  </si>
  <si>
    <t>Best</t>
  </si>
  <si>
    <t>AND</t>
  </si>
  <si>
    <t>Emp Tenure</t>
  </si>
  <si>
    <t>Great than equal to 6</t>
  </si>
  <si>
    <t>Good</t>
  </si>
  <si>
    <t>&gt;= 45</t>
  </si>
  <si>
    <t>Great than equal to 4</t>
  </si>
  <si>
    <t>Avg</t>
  </si>
  <si>
    <t>Less than 4</t>
  </si>
  <si>
    <t>Poor</t>
  </si>
  <si>
    <t>P.Score</t>
  </si>
  <si>
    <t>&gt;= 7</t>
  </si>
  <si>
    <t>&gt;=10</t>
  </si>
  <si>
    <t>Promotion1</t>
  </si>
  <si>
    <t>Promotion2</t>
  </si>
  <si>
    <t>&gt;=20</t>
  </si>
  <si>
    <t>Promotion1 : Yes</t>
  </si>
  <si>
    <t>Promotion2 :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</si>
</sst>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/>
    <xf numFmtId="0" fontId="0" fillId="0" borderId="5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7B85-E73B-487E-BF14-ECE28A1C27A2}">
  <dimension ref="A1:V101"/>
  <sheetViews>
    <sheetView tabSelected="1" topLeftCell="A11" zoomScale="145" zoomScaleNormal="145" workbookViewId="0">
      <selection activeCell="L9" sqref="L9"/>
    </sheetView>
  </sheetViews>
  <sheetFormatPr defaultRowHeight="14.4" x14ac:dyDescent="0.3"/>
  <cols>
    <col min="1" max="1" width="11.5546875" bestFit="1" customWidth="1"/>
    <col min="2" max="2" width="11.109375" bestFit="1" customWidth="1"/>
    <col min="3" max="3" width="13.88671875" bestFit="1" customWidth="1"/>
    <col min="4" max="4" width="6.33203125" customWidth="1"/>
    <col min="5" max="5" width="18.33203125" bestFit="1" customWidth="1"/>
    <col min="6" max="6" width="17.21875" bestFit="1" customWidth="1"/>
    <col min="7" max="7" width="14.109375" bestFit="1" customWidth="1"/>
    <col min="8" max="8" width="17.88671875" bestFit="1" customWidth="1"/>
    <col min="9" max="10" width="11.21875" bestFit="1" customWidth="1"/>
    <col min="13" max="13" width="18.77734375" bestFit="1" customWidth="1"/>
    <col min="14" max="14" width="6.21875" bestFit="1" customWidth="1"/>
    <col min="16" max="16" width="7.109375" bestFit="1" customWidth="1"/>
    <col min="17" max="17" width="4.77734375" bestFit="1" customWidth="1"/>
    <col min="18" max="18" width="10.88671875" bestFit="1" customWidth="1"/>
    <col min="20" max="20" width="5.44140625" bestFit="1" customWidth="1"/>
    <col min="21" max="21" width="4.77734375" bestFit="1" customWidth="1"/>
    <col min="22" max="22" width="10.88671875" bestFit="1" customWidth="1"/>
  </cols>
  <sheetData>
    <row r="1" spans="1:22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10</v>
      </c>
      <c r="H1" s="17" t="s">
        <v>11</v>
      </c>
      <c r="I1" s="17" t="s">
        <v>28</v>
      </c>
      <c r="J1" s="17" t="s">
        <v>29</v>
      </c>
    </row>
    <row r="2" spans="1:22" ht="15" thickBot="1" x14ac:dyDescent="0.35">
      <c r="A2" s="6">
        <v>1</v>
      </c>
      <c r="B2" s="7" t="s">
        <v>6</v>
      </c>
      <c r="C2" s="7">
        <v>64000</v>
      </c>
      <c r="D2" s="7">
        <v>48</v>
      </c>
      <c r="E2" s="7">
        <v>21</v>
      </c>
      <c r="F2" s="7">
        <v>2</v>
      </c>
      <c r="G2" s="7" t="str">
        <f>IF(E2&gt;10, "SENIOR", "JUNIOR")</f>
        <v>SENIOR</v>
      </c>
      <c r="H2" s="7" t="str">
        <f>IF(F2&gt;=8,"BEST", IF(F2&gt;=6, "GOOD", IF(F2&gt;=4, "AVG", "POOR")))</f>
        <v>POOR</v>
      </c>
      <c r="I2" s="7" t="str">
        <f>IF(AND(F2&gt;=7,E2&gt;10),"YES","NO")</f>
        <v>NO</v>
      </c>
      <c r="J2" s="7" t="str">
        <f>IF(OR(D2&gt;=45,E2&gt;=20),"YES","NO")</f>
        <v>YES</v>
      </c>
      <c r="M2" s="3" t="s">
        <v>12</v>
      </c>
      <c r="N2" s="4" t="s">
        <v>13</v>
      </c>
      <c r="O2" s="9"/>
      <c r="P2" s="12" t="s">
        <v>31</v>
      </c>
      <c r="Q2" s="13"/>
      <c r="R2" s="14"/>
      <c r="T2" s="12" t="s">
        <v>32</v>
      </c>
      <c r="U2" s="13"/>
      <c r="V2" s="14"/>
    </row>
    <row r="3" spans="1:22" ht="15" thickBot="1" x14ac:dyDescent="0.35">
      <c r="A3" s="6">
        <v>2</v>
      </c>
      <c r="B3" s="7" t="s">
        <v>7</v>
      </c>
      <c r="C3" s="7">
        <v>56000</v>
      </c>
      <c r="D3" s="7">
        <v>22</v>
      </c>
      <c r="E3" s="7">
        <v>1</v>
      </c>
      <c r="F3" s="7">
        <v>4</v>
      </c>
      <c r="G3" s="7" t="str">
        <f t="shared" ref="G3:G66" si="0">IF(E3&gt;10, "SENIOR", "JUNIOR")</f>
        <v>JUNIOR</v>
      </c>
      <c r="H3" s="7" t="str">
        <f t="shared" ref="H3:H66" si="1">IF(F3&gt;=8,"BEST", IF(F3&gt;=6, "GOOD", IF(F3&gt;=4, "AVG", "POOR")))</f>
        <v>AVG</v>
      </c>
      <c r="I3" s="7" t="str">
        <f t="shared" ref="I3:I66" si="2">IF(AND(F3&gt;=7,E3&gt;10),"YES","NO")</f>
        <v>NO</v>
      </c>
      <c r="J3" s="7" t="str">
        <f t="shared" ref="J3:J66" si="3">IF(OR(D3&gt;=45,E3&gt;=20),"YES","NO")</f>
        <v>NO</v>
      </c>
      <c r="M3" s="10" t="s">
        <v>14</v>
      </c>
      <c r="N3" s="5" t="s">
        <v>15</v>
      </c>
      <c r="O3" s="9"/>
      <c r="P3" s="1" t="s">
        <v>25</v>
      </c>
      <c r="Q3" s="2" t="s">
        <v>16</v>
      </c>
      <c r="R3" s="1" t="s">
        <v>17</v>
      </c>
      <c r="T3" s="15" t="s">
        <v>3</v>
      </c>
      <c r="U3" s="2" t="s">
        <v>16</v>
      </c>
      <c r="V3" s="1" t="s">
        <v>17</v>
      </c>
    </row>
    <row r="4" spans="1:22" ht="15" thickBot="1" x14ac:dyDescent="0.35">
      <c r="A4" s="6">
        <v>3</v>
      </c>
      <c r="B4" s="7" t="s">
        <v>8</v>
      </c>
      <c r="C4" s="7">
        <v>89000</v>
      </c>
      <c r="D4" s="7">
        <v>47</v>
      </c>
      <c r="E4" s="7">
        <v>11</v>
      </c>
      <c r="F4" s="7">
        <v>5</v>
      </c>
      <c r="G4" s="7" t="str">
        <f t="shared" si="0"/>
        <v>SENIOR</v>
      </c>
      <c r="H4" s="7" t="str">
        <f t="shared" si="1"/>
        <v>AVG</v>
      </c>
      <c r="I4" s="7" t="str">
        <f t="shared" si="2"/>
        <v>NO</v>
      </c>
      <c r="J4" s="7" t="str">
        <f t="shared" si="3"/>
        <v>YES</v>
      </c>
      <c r="M4" s="10" t="s">
        <v>18</v>
      </c>
      <c r="N4" s="5" t="s">
        <v>19</v>
      </c>
      <c r="O4" s="9"/>
      <c r="P4" s="1" t="s">
        <v>26</v>
      </c>
      <c r="Q4" s="1"/>
      <c r="R4" s="1" t="s">
        <v>27</v>
      </c>
      <c r="T4" s="15" t="s">
        <v>20</v>
      </c>
      <c r="U4" s="1"/>
      <c r="V4" s="1" t="s">
        <v>30</v>
      </c>
    </row>
    <row r="5" spans="1:22" s="8" customFormat="1" ht="15" thickBot="1" x14ac:dyDescent="0.35">
      <c r="A5" s="6">
        <v>4</v>
      </c>
      <c r="B5" s="7" t="s">
        <v>6</v>
      </c>
      <c r="C5" s="7">
        <v>36000</v>
      </c>
      <c r="D5" s="7">
        <v>39</v>
      </c>
      <c r="E5" s="7">
        <v>15</v>
      </c>
      <c r="F5" s="7">
        <v>2</v>
      </c>
      <c r="G5" s="7" t="str">
        <f t="shared" si="0"/>
        <v>SENIOR</v>
      </c>
      <c r="H5" s="7" t="str">
        <f t="shared" si="1"/>
        <v>POOR</v>
      </c>
      <c r="I5" s="7" t="str">
        <f t="shared" si="2"/>
        <v>NO</v>
      </c>
      <c r="J5" s="7" t="str">
        <f t="shared" si="3"/>
        <v>NO</v>
      </c>
      <c r="M5" s="10" t="s">
        <v>21</v>
      </c>
      <c r="N5" s="5" t="s">
        <v>22</v>
      </c>
      <c r="O5" s="9"/>
      <c r="P5" s="1"/>
      <c r="Q5" s="1"/>
      <c r="R5" s="1"/>
    </row>
    <row r="6" spans="1:22" ht="15" thickBot="1" x14ac:dyDescent="0.35">
      <c r="A6" s="6">
        <v>5</v>
      </c>
      <c r="B6" s="7" t="s">
        <v>7</v>
      </c>
      <c r="C6" s="7">
        <v>43000</v>
      </c>
      <c r="D6" s="7">
        <v>45</v>
      </c>
      <c r="E6" s="7">
        <v>19</v>
      </c>
      <c r="F6" s="7">
        <v>2</v>
      </c>
      <c r="G6" s="7" t="str">
        <f t="shared" si="0"/>
        <v>SENIOR</v>
      </c>
      <c r="H6" s="7" t="str">
        <f t="shared" si="1"/>
        <v>POOR</v>
      </c>
      <c r="I6" s="7" t="str">
        <f t="shared" si="2"/>
        <v>NO</v>
      </c>
      <c r="J6" s="7" t="str">
        <f t="shared" si="3"/>
        <v>YES</v>
      </c>
      <c r="M6" s="10" t="s">
        <v>23</v>
      </c>
      <c r="N6" s="5" t="s">
        <v>24</v>
      </c>
      <c r="O6" s="11"/>
      <c r="P6" s="11"/>
      <c r="Q6" s="11"/>
      <c r="R6" s="11"/>
    </row>
    <row r="7" spans="1:22" ht="15" thickBot="1" x14ac:dyDescent="0.35">
      <c r="A7" s="6">
        <v>6</v>
      </c>
      <c r="B7" s="7" t="s">
        <v>7</v>
      </c>
      <c r="C7" s="7">
        <v>40000</v>
      </c>
      <c r="D7" s="7">
        <v>43</v>
      </c>
      <c r="E7" s="7">
        <v>5</v>
      </c>
      <c r="F7" s="7">
        <v>1</v>
      </c>
      <c r="G7" s="7" t="str">
        <f t="shared" si="0"/>
        <v>JUNIOR</v>
      </c>
      <c r="H7" s="7" t="str">
        <f t="shared" si="1"/>
        <v>POOR</v>
      </c>
      <c r="I7" s="7" t="str">
        <f t="shared" si="2"/>
        <v>NO</v>
      </c>
      <c r="J7" s="7" t="str">
        <f t="shared" si="3"/>
        <v>NO</v>
      </c>
    </row>
    <row r="8" spans="1:22" ht="15" thickBot="1" x14ac:dyDescent="0.35">
      <c r="A8" s="6">
        <v>7</v>
      </c>
      <c r="B8" s="7" t="s">
        <v>7</v>
      </c>
      <c r="C8" s="7">
        <v>69000</v>
      </c>
      <c r="D8" s="7">
        <v>40</v>
      </c>
      <c r="E8" s="7">
        <v>4</v>
      </c>
      <c r="F8" s="7">
        <v>8</v>
      </c>
      <c r="G8" s="7" t="str">
        <f t="shared" si="0"/>
        <v>JUNIOR</v>
      </c>
      <c r="H8" s="7" t="str">
        <f t="shared" si="1"/>
        <v>BEST</v>
      </c>
      <c r="I8" s="7" t="str">
        <f t="shared" si="2"/>
        <v>NO</v>
      </c>
      <c r="J8" s="7" t="str">
        <f t="shared" si="3"/>
        <v>NO</v>
      </c>
    </row>
    <row r="9" spans="1:22" ht="15" thickBot="1" x14ac:dyDescent="0.35">
      <c r="A9" s="6">
        <v>8</v>
      </c>
      <c r="B9" s="7" t="s">
        <v>7</v>
      </c>
      <c r="C9" s="7">
        <v>45000</v>
      </c>
      <c r="D9" s="7">
        <v>49</v>
      </c>
      <c r="E9" s="7">
        <v>20</v>
      </c>
      <c r="F9" s="7">
        <v>9</v>
      </c>
      <c r="G9" s="7" t="str">
        <f t="shared" si="0"/>
        <v>SENIOR</v>
      </c>
      <c r="H9" s="7" t="str">
        <f t="shared" si="1"/>
        <v>BEST</v>
      </c>
      <c r="I9" s="7" t="str">
        <f t="shared" si="2"/>
        <v>YES</v>
      </c>
      <c r="J9" s="7" t="str">
        <f t="shared" si="3"/>
        <v>YES</v>
      </c>
    </row>
    <row r="10" spans="1:22" ht="15" thickBot="1" x14ac:dyDescent="0.35">
      <c r="A10" s="6">
        <v>9</v>
      </c>
      <c r="B10" s="7" t="s">
        <v>8</v>
      </c>
      <c r="C10" s="7">
        <v>58000</v>
      </c>
      <c r="D10" s="7">
        <v>23</v>
      </c>
      <c r="E10" s="7">
        <v>8</v>
      </c>
      <c r="F10" s="7">
        <v>5</v>
      </c>
      <c r="G10" s="7" t="str">
        <f t="shared" si="0"/>
        <v>JUNIOR</v>
      </c>
      <c r="H10" s="7" t="str">
        <f t="shared" si="1"/>
        <v>AVG</v>
      </c>
      <c r="I10" s="7" t="str">
        <f t="shared" si="2"/>
        <v>NO</v>
      </c>
      <c r="J10" s="7" t="str">
        <f t="shared" si="3"/>
        <v>NO</v>
      </c>
    </row>
    <row r="11" spans="1:22" ht="15" thickBot="1" x14ac:dyDescent="0.35">
      <c r="A11" s="6">
        <v>10</v>
      </c>
      <c r="B11" s="7" t="s">
        <v>7</v>
      </c>
      <c r="C11" s="7">
        <v>45000</v>
      </c>
      <c r="D11" s="7">
        <v>55</v>
      </c>
      <c r="E11" s="7">
        <v>9</v>
      </c>
      <c r="F11" s="7">
        <v>4</v>
      </c>
      <c r="G11" s="7" t="str">
        <f t="shared" si="0"/>
        <v>JUNIOR</v>
      </c>
      <c r="H11" s="7" t="str">
        <f t="shared" si="1"/>
        <v>AVG</v>
      </c>
      <c r="I11" s="7" t="str">
        <f t="shared" si="2"/>
        <v>NO</v>
      </c>
      <c r="J11" s="7" t="str">
        <f t="shared" si="3"/>
        <v>YES</v>
      </c>
    </row>
    <row r="12" spans="1:22" ht="15" thickBot="1" x14ac:dyDescent="0.35">
      <c r="A12" s="6">
        <v>11</v>
      </c>
      <c r="B12" s="7" t="s">
        <v>8</v>
      </c>
      <c r="C12" s="7">
        <v>40000</v>
      </c>
      <c r="D12" s="7">
        <v>59</v>
      </c>
      <c r="E12" s="7">
        <v>14</v>
      </c>
      <c r="F12" s="7">
        <v>6</v>
      </c>
      <c r="G12" s="7" t="str">
        <f t="shared" si="0"/>
        <v>SENIOR</v>
      </c>
      <c r="H12" s="7" t="str">
        <f t="shared" si="1"/>
        <v>GOOD</v>
      </c>
      <c r="I12" s="7" t="str">
        <f t="shared" si="2"/>
        <v>NO</v>
      </c>
      <c r="J12" s="7" t="str">
        <f t="shared" si="3"/>
        <v>YES</v>
      </c>
    </row>
    <row r="13" spans="1:22" ht="15" thickBot="1" x14ac:dyDescent="0.35">
      <c r="A13" s="6">
        <v>12</v>
      </c>
      <c r="B13" s="7" t="s">
        <v>9</v>
      </c>
      <c r="C13" s="7">
        <v>37000</v>
      </c>
      <c r="D13" s="7">
        <v>29</v>
      </c>
      <c r="E13" s="7">
        <v>6</v>
      </c>
      <c r="F13" s="7">
        <v>7</v>
      </c>
      <c r="G13" s="7" t="str">
        <f t="shared" si="0"/>
        <v>JUNIOR</v>
      </c>
      <c r="H13" s="7" t="str">
        <f t="shared" si="1"/>
        <v>GOOD</v>
      </c>
      <c r="I13" s="7" t="str">
        <f t="shared" si="2"/>
        <v>NO</v>
      </c>
      <c r="J13" s="7" t="str">
        <f t="shared" si="3"/>
        <v>NO</v>
      </c>
    </row>
    <row r="14" spans="1:22" ht="15" thickBot="1" x14ac:dyDescent="0.35">
      <c r="A14" s="6">
        <v>13</v>
      </c>
      <c r="B14" s="7" t="s">
        <v>6</v>
      </c>
      <c r="C14" s="7">
        <v>69000</v>
      </c>
      <c r="D14" s="7">
        <v>29</v>
      </c>
      <c r="E14" s="7">
        <v>1</v>
      </c>
      <c r="F14" s="7">
        <v>4</v>
      </c>
      <c r="G14" s="7" t="str">
        <f t="shared" si="0"/>
        <v>JUNIOR</v>
      </c>
      <c r="H14" s="7" t="str">
        <f t="shared" si="1"/>
        <v>AVG</v>
      </c>
      <c r="I14" s="7" t="str">
        <f t="shared" si="2"/>
        <v>NO</v>
      </c>
      <c r="J14" s="7" t="str">
        <f t="shared" si="3"/>
        <v>NO</v>
      </c>
    </row>
    <row r="15" spans="1:22" ht="15" thickBot="1" x14ac:dyDescent="0.35">
      <c r="A15" s="6">
        <v>14</v>
      </c>
      <c r="B15" s="7" t="s">
        <v>7</v>
      </c>
      <c r="C15" s="7">
        <v>38000</v>
      </c>
      <c r="D15" s="7">
        <v>43</v>
      </c>
      <c r="E15" s="7">
        <v>9</v>
      </c>
      <c r="F15" s="7">
        <v>3</v>
      </c>
      <c r="G15" s="7" t="str">
        <f t="shared" si="0"/>
        <v>JUNIOR</v>
      </c>
      <c r="H15" s="7" t="str">
        <f t="shared" si="1"/>
        <v>POOR</v>
      </c>
      <c r="I15" s="7" t="str">
        <f t="shared" si="2"/>
        <v>NO</v>
      </c>
      <c r="J15" s="7" t="str">
        <f t="shared" si="3"/>
        <v>NO</v>
      </c>
    </row>
    <row r="16" spans="1:22" ht="15" thickBot="1" x14ac:dyDescent="0.35">
      <c r="A16" s="6">
        <v>15</v>
      </c>
      <c r="B16" s="7" t="s">
        <v>9</v>
      </c>
      <c r="C16" s="7">
        <v>42000</v>
      </c>
      <c r="D16" s="7">
        <v>23</v>
      </c>
      <c r="E16" s="7">
        <v>16</v>
      </c>
      <c r="F16" s="7">
        <v>10</v>
      </c>
      <c r="G16" s="7" t="str">
        <f t="shared" si="0"/>
        <v>SENIOR</v>
      </c>
      <c r="H16" s="7" t="str">
        <f t="shared" si="1"/>
        <v>BEST</v>
      </c>
      <c r="I16" s="7" t="str">
        <f t="shared" si="2"/>
        <v>YES</v>
      </c>
      <c r="J16" s="7" t="str">
        <f t="shared" si="3"/>
        <v>NO</v>
      </c>
    </row>
    <row r="17" spans="1:10" ht="15" thickBot="1" x14ac:dyDescent="0.35">
      <c r="A17" s="6">
        <v>16</v>
      </c>
      <c r="B17" s="7" t="s">
        <v>6</v>
      </c>
      <c r="C17" s="7">
        <v>52000</v>
      </c>
      <c r="D17" s="7">
        <v>46</v>
      </c>
      <c r="E17" s="7">
        <v>16</v>
      </c>
      <c r="F17" s="7">
        <v>9</v>
      </c>
      <c r="G17" s="7" t="str">
        <f t="shared" si="0"/>
        <v>SENIOR</v>
      </c>
      <c r="H17" s="7" t="str">
        <f t="shared" si="1"/>
        <v>BEST</v>
      </c>
      <c r="I17" s="7" t="str">
        <f t="shared" si="2"/>
        <v>YES</v>
      </c>
      <c r="J17" s="7" t="str">
        <f t="shared" si="3"/>
        <v>YES</v>
      </c>
    </row>
    <row r="18" spans="1:10" ht="15" thickBot="1" x14ac:dyDescent="0.35">
      <c r="A18" s="6">
        <v>17</v>
      </c>
      <c r="B18" s="7" t="s">
        <v>6</v>
      </c>
      <c r="C18" s="7">
        <v>79000</v>
      </c>
      <c r="D18" s="7">
        <v>23</v>
      </c>
      <c r="E18" s="7">
        <v>12</v>
      </c>
      <c r="F18" s="7">
        <v>2</v>
      </c>
      <c r="G18" s="7" t="str">
        <f t="shared" si="0"/>
        <v>SENIOR</v>
      </c>
      <c r="H18" s="7" t="str">
        <f t="shared" si="1"/>
        <v>POOR</v>
      </c>
      <c r="I18" s="7" t="str">
        <f t="shared" si="2"/>
        <v>NO</v>
      </c>
      <c r="J18" s="7" t="str">
        <f t="shared" si="3"/>
        <v>NO</v>
      </c>
    </row>
    <row r="19" spans="1:10" ht="15" thickBot="1" x14ac:dyDescent="0.35">
      <c r="A19" s="6">
        <v>18</v>
      </c>
      <c r="B19" s="7" t="s">
        <v>6</v>
      </c>
      <c r="C19" s="7">
        <v>36000</v>
      </c>
      <c r="D19" s="7">
        <v>51</v>
      </c>
      <c r="E19" s="7">
        <v>5</v>
      </c>
      <c r="F19" s="7">
        <v>5</v>
      </c>
      <c r="G19" s="7" t="str">
        <f t="shared" si="0"/>
        <v>JUNIOR</v>
      </c>
      <c r="H19" s="7" t="str">
        <f t="shared" si="1"/>
        <v>AVG</v>
      </c>
      <c r="I19" s="7" t="str">
        <f t="shared" si="2"/>
        <v>NO</v>
      </c>
      <c r="J19" s="7" t="str">
        <f t="shared" si="3"/>
        <v>YES</v>
      </c>
    </row>
    <row r="20" spans="1:10" ht="15" thickBot="1" x14ac:dyDescent="0.35">
      <c r="A20" s="6">
        <v>19</v>
      </c>
      <c r="B20" s="7" t="s">
        <v>9</v>
      </c>
      <c r="C20" s="7">
        <v>80000</v>
      </c>
      <c r="D20" s="7">
        <v>29</v>
      </c>
      <c r="E20" s="7">
        <v>8</v>
      </c>
      <c r="F20" s="7">
        <v>1</v>
      </c>
      <c r="G20" s="7" t="str">
        <f t="shared" si="0"/>
        <v>JUNIOR</v>
      </c>
      <c r="H20" s="7" t="str">
        <f t="shared" si="1"/>
        <v>POOR</v>
      </c>
      <c r="I20" s="7" t="str">
        <f t="shared" si="2"/>
        <v>NO</v>
      </c>
      <c r="J20" s="7" t="str">
        <f t="shared" si="3"/>
        <v>NO</v>
      </c>
    </row>
    <row r="21" spans="1:10" ht="15" thickBot="1" x14ac:dyDescent="0.35">
      <c r="A21" s="6">
        <v>20</v>
      </c>
      <c r="B21" s="7" t="s">
        <v>8</v>
      </c>
      <c r="C21" s="7">
        <v>36000</v>
      </c>
      <c r="D21" s="7">
        <v>30</v>
      </c>
      <c r="E21" s="7">
        <v>14</v>
      </c>
      <c r="F21" s="7">
        <v>9</v>
      </c>
      <c r="G21" s="7" t="str">
        <f t="shared" si="0"/>
        <v>SENIOR</v>
      </c>
      <c r="H21" s="7" t="str">
        <f t="shared" si="1"/>
        <v>BEST</v>
      </c>
      <c r="I21" s="7" t="str">
        <f t="shared" si="2"/>
        <v>YES</v>
      </c>
      <c r="J21" s="7" t="str">
        <f t="shared" si="3"/>
        <v>NO</v>
      </c>
    </row>
    <row r="22" spans="1:10" ht="15" thickBot="1" x14ac:dyDescent="0.35">
      <c r="A22" s="6">
        <v>21</v>
      </c>
      <c r="B22" s="7" t="s">
        <v>9</v>
      </c>
      <c r="C22" s="7">
        <v>89000</v>
      </c>
      <c r="D22" s="7">
        <v>47</v>
      </c>
      <c r="E22" s="7">
        <v>11</v>
      </c>
      <c r="F22" s="7">
        <v>4</v>
      </c>
      <c r="G22" s="7" t="str">
        <f t="shared" si="0"/>
        <v>SENIOR</v>
      </c>
      <c r="H22" s="7" t="str">
        <f t="shared" si="1"/>
        <v>AVG</v>
      </c>
      <c r="I22" s="7" t="str">
        <f t="shared" si="2"/>
        <v>NO</v>
      </c>
      <c r="J22" s="7" t="str">
        <f t="shared" si="3"/>
        <v>YES</v>
      </c>
    </row>
    <row r="23" spans="1:10" ht="15" thickBot="1" x14ac:dyDescent="0.35">
      <c r="A23" s="6">
        <v>22</v>
      </c>
      <c r="B23" s="7" t="s">
        <v>7</v>
      </c>
      <c r="C23" s="7">
        <v>58000</v>
      </c>
      <c r="D23" s="7">
        <v>27</v>
      </c>
      <c r="E23" s="7">
        <v>15</v>
      </c>
      <c r="F23" s="7">
        <v>10</v>
      </c>
      <c r="G23" s="7" t="str">
        <f t="shared" si="0"/>
        <v>SENIOR</v>
      </c>
      <c r="H23" s="7" t="str">
        <f t="shared" si="1"/>
        <v>BEST</v>
      </c>
      <c r="I23" s="7" t="str">
        <f t="shared" si="2"/>
        <v>YES</v>
      </c>
      <c r="J23" s="7" t="str">
        <f t="shared" si="3"/>
        <v>NO</v>
      </c>
    </row>
    <row r="24" spans="1:10" ht="15" thickBot="1" x14ac:dyDescent="0.35">
      <c r="A24" s="6">
        <v>23</v>
      </c>
      <c r="B24" s="7" t="s">
        <v>7</v>
      </c>
      <c r="C24" s="7">
        <v>89000</v>
      </c>
      <c r="D24" s="7">
        <v>59</v>
      </c>
      <c r="E24" s="7">
        <v>18</v>
      </c>
      <c r="F24" s="7">
        <v>6</v>
      </c>
      <c r="G24" s="7" t="str">
        <f t="shared" si="0"/>
        <v>SENIOR</v>
      </c>
      <c r="H24" s="7" t="str">
        <f t="shared" si="1"/>
        <v>GOOD</v>
      </c>
      <c r="I24" s="7" t="str">
        <f t="shared" si="2"/>
        <v>NO</v>
      </c>
      <c r="J24" s="7" t="str">
        <f t="shared" si="3"/>
        <v>YES</v>
      </c>
    </row>
    <row r="25" spans="1:10" ht="15" thickBot="1" x14ac:dyDescent="0.35">
      <c r="A25" s="6">
        <v>24</v>
      </c>
      <c r="B25" s="7" t="s">
        <v>9</v>
      </c>
      <c r="C25" s="7">
        <v>66000</v>
      </c>
      <c r="D25" s="7">
        <v>41</v>
      </c>
      <c r="E25" s="7">
        <v>20</v>
      </c>
      <c r="F25" s="7">
        <v>6</v>
      </c>
      <c r="G25" s="7" t="str">
        <f t="shared" si="0"/>
        <v>SENIOR</v>
      </c>
      <c r="H25" s="7" t="str">
        <f t="shared" si="1"/>
        <v>GOOD</v>
      </c>
      <c r="I25" s="7" t="str">
        <f t="shared" si="2"/>
        <v>NO</v>
      </c>
      <c r="J25" s="7" t="str">
        <f t="shared" si="3"/>
        <v>YES</v>
      </c>
    </row>
    <row r="26" spans="1:10" ht="15" thickBot="1" x14ac:dyDescent="0.35">
      <c r="A26" s="6">
        <v>25</v>
      </c>
      <c r="B26" s="7" t="s">
        <v>6</v>
      </c>
      <c r="C26" s="7">
        <v>74000</v>
      </c>
      <c r="D26" s="7">
        <v>53</v>
      </c>
      <c r="E26" s="7">
        <v>4</v>
      </c>
      <c r="F26" s="7">
        <v>2</v>
      </c>
      <c r="G26" s="7" t="str">
        <f t="shared" si="0"/>
        <v>JUNIOR</v>
      </c>
      <c r="H26" s="7" t="str">
        <f t="shared" si="1"/>
        <v>POOR</v>
      </c>
      <c r="I26" s="7" t="str">
        <f t="shared" si="2"/>
        <v>NO</v>
      </c>
      <c r="J26" s="7" t="str">
        <f t="shared" si="3"/>
        <v>YES</v>
      </c>
    </row>
    <row r="27" spans="1:10" ht="15" thickBot="1" x14ac:dyDescent="0.35">
      <c r="A27" s="6">
        <v>26</v>
      </c>
      <c r="B27" s="7" t="s">
        <v>8</v>
      </c>
      <c r="C27" s="7">
        <v>32000</v>
      </c>
      <c r="D27" s="7">
        <v>54</v>
      </c>
      <c r="E27" s="7">
        <v>10</v>
      </c>
      <c r="F27" s="7">
        <v>8</v>
      </c>
      <c r="G27" s="7" t="str">
        <f t="shared" si="0"/>
        <v>JUNIOR</v>
      </c>
      <c r="H27" s="7" t="str">
        <f t="shared" si="1"/>
        <v>BEST</v>
      </c>
      <c r="I27" s="7" t="str">
        <f t="shared" si="2"/>
        <v>NO</v>
      </c>
      <c r="J27" s="7" t="str">
        <f t="shared" si="3"/>
        <v>YES</v>
      </c>
    </row>
    <row r="28" spans="1:10" ht="15" thickBot="1" x14ac:dyDescent="0.35">
      <c r="A28" s="6">
        <v>27</v>
      </c>
      <c r="B28" s="7" t="s">
        <v>8</v>
      </c>
      <c r="C28" s="7">
        <v>47000</v>
      </c>
      <c r="D28" s="7">
        <v>54</v>
      </c>
      <c r="E28" s="7">
        <v>19</v>
      </c>
      <c r="F28" s="7">
        <v>9</v>
      </c>
      <c r="G28" s="7" t="str">
        <f t="shared" si="0"/>
        <v>SENIOR</v>
      </c>
      <c r="H28" s="7" t="str">
        <f t="shared" si="1"/>
        <v>BEST</v>
      </c>
      <c r="I28" s="7" t="str">
        <f t="shared" si="2"/>
        <v>YES</v>
      </c>
      <c r="J28" s="7" t="str">
        <f t="shared" si="3"/>
        <v>YES</v>
      </c>
    </row>
    <row r="29" spans="1:10" ht="15" thickBot="1" x14ac:dyDescent="0.35">
      <c r="A29" s="6">
        <v>28</v>
      </c>
      <c r="B29" s="7" t="s">
        <v>8</v>
      </c>
      <c r="C29" s="7">
        <v>37000</v>
      </c>
      <c r="D29" s="7">
        <v>44</v>
      </c>
      <c r="E29" s="7">
        <v>3</v>
      </c>
      <c r="F29" s="7">
        <v>7</v>
      </c>
      <c r="G29" s="7" t="str">
        <f t="shared" si="0"/>
        <v>JUNIOR</v>
      </c>
      <c r="H29" s="7" t="str">
        <f t="shared" si="1"/>
        <v>GOOD</v>
      </c>
      <c r="I29" s="7" t="str">
        <f t="shared" si="2"/>
        <v>NO</v>
      </c>
      <c r="J29" s="7" t="str">
        <f t="shared" si="3"/>
        <v>NO</v>
      </c>
    </row>
    <row r="30" spans="1:10" ht="15" thickBot="1" x14ac:dyDescent="0.35">
      <c r="A30" s="6">
        <v>29</v>
      </c>
      <c r="B30" s="7" t="s">
        <v>8</v>
      </c>
      <c r="C30" s="7">
        <v>48000</v>
      </c>
      <c r="D30" s="7">
        <v>53</v>
      </c>
      <c r="E30" s="7">
        <v>20</v>
      </c>
      <c r="F30" s="7">
        <v>5</v>
      </c>
      <c r="G30" s="7" t="str">
        <f t="shared" si="0"/>
        <v>SENIOR</v>
      </c>
      <c r="H30" s="7" t="str">
        <f t="shared" si="1"/>
        <v>AVG</v>
      </c>
      <c r="I30" s="7" t="str">
        <f t="shared" si="2"/>
        <v>NO</v>
      </c>
      <c r="J30" s="7" t="str">
        <f t="shared" si="3"/>
        <v>YES</v>
      </c>
    </row>
    <row r="31" spans="1:10" ht="15" thickBot="1" x14ac:dyDescent="0.35">
      <c r="A31" s="6">
        <v>30</v>
      </c>
      <c r="B31" s="7" t="s">
        <v>6</v>
      </c>
      <c r="C31" s="7">
        <v>37000</v>
      </c>
      <c r="D31" s="7">
        <v>25</v>
      </c>
      <c r="E31" s="7">
        <v>12</v>
      </c>
      <c r="F31" s="7">
        <v>8</v>
      </c>
      <c r="G31" s="7" t="str">
        <f t="shared" si="0"/>
        <v>SENIOR</v>
      </c>
      <c r="H31" s="7" t="str">
        <f t="shared" si="1"/>
        <v>BEST</v>
      </c>
      <c r="I31" s="7" t="str">
        <f t="shared" si="2"/>
        <v>YES</v>
      </c>
      <c r="J31" s="7" t="str">
        <f t="shared" si="3"/>
        <v>NO</v>
      </c>
    </row>
    <row r="32" spans="1:10" ht="15" thickBot="1" x14ac:dyDescent="0.35">
      <c r="A32" s="6">
        <v>31</v>
      </c>
      <c r="B32" s="7" t="s">
        <v>8</v>
      </c>
      <c r="C32" s="7">
        <v>49000</v>
      </c>
      <c r="D32" s="7">
        <v>56</v>
      </c>
      <c r="E32" s="7">
        <v>19</v>
      </c>
      <c r="F32" s="7">
        <v>4</v>
      </c>
      <c r="G32" s="7" t="str">
        <f t="shared" si="0"/>
        <v>SENIOR</v>
      </c>
      <c r="H32" s="7" t="str">
        <f t="shared" si="1"/>
        <v>AVG</v>
      </c>
      <c r="I32" s="7" t="str">
        <f t="shared" si="2"/>
        <v>NO</v>
      </c>
      <c r="J32" s="7" t="str">
        <f t="shared" si="3"/>
        <v>YES</v>
      </c>
    </row>
    <row r="33" spans="1:10" ht="15" thickBot="1" x14ac:dyDescent="0.35">
      <c r="A33" s="6">
        <v>32</v>
      </c>
      <c r="B33" s="7" t="s">
        <v>6</v>
      </c>
      <c r="C33" s="7">
        <v>55000</v>
      </c>
      <c r="D33" s="7">
        <v>20</v>
      </c>
      <c r="E33" s="7">
        <v>14</v>
      </c>
      <c r="F33" s="7">
        <v>6</v>
      </c>
      <c r="G33" s="7" t="str">
        <f t="shared" si="0"/>
        <v>SENIOR</v>
      </c>
      <c r="H33" s="7" t="str">
        <f t="shared" si="1"/>
        <v>GOOD</v>
      </c>
      <c r="I33" s="7" t="str">
        <f t="shared" si="2"/>
        <v>NO</v>
      </c>
      <c r="J33" s="7" t="str">
        <f t="shared" si="3"/>
        <v>NO</v>
      </c>
    </row>
    <row r="34" spans="1:10" ht="15" thickBot="1" x14ac:dyDescent="0.35">
      <c r="A34" s="6">
        <v>33</v>
      </c>
      <c r="B34" s="7" t="s">
        <v>7</v>
      </c>
      <c r="C34" s="7">
        <v>34000</v>
      </c>
      <c r="D34" s="7">
        <v>31</v>
      </c>
      <c r="E34" s="7">
        <v>2</v>
      </c>
      <c r="F34" s="7">
        <v>4</v>
      </c>
      <c r="G34" s="7" t="str">
        <f t="shared" si="0"/>
        <v>JUNIOR</v>
      </c>
      <c r="H34" s="7" t="str">
        <f t="shared" si="1"/>
        <v>AVG</v>
      </c>
      <c r="I34" s="7" t="str">
        <f t="shared" si="2"/>
        <v>NO</v>
      </c>
      <c r="J34" s="7" t="str">
        <f t="shared" si="3"/>
        <v>NO</v>
      </c>
    </row>
    <row r="35" spans="1:10" ht="15" thickBot="1" x14ac:dyDescent="0.35">
      <c r="A35" s="6">
        <v>34</v>
      </c>
      <c r="B35" s="7" t="s">
        <v>6</v>
      </c>
      <c r="C35" s="7">
        <v>72000</v>
      </c>
      <c r="D35" s="7">
        <v>54</v>
      </c>
      <c r="E35" s="7">
        <v>7</v>
      </c>
      <c r="F35" s="7">
        <v>7</v>
      </c>
      <c r="G35" s="7" t="str">
        <f t="shared" si="0"/>
        <v>JUNIOR</v>
      </c>
      <c r="H35" s="7" t="str">
        <f t="shared" si="1"/>
        <v>GOOD</v>
      </c>
      <c r="I35" s="7" t="str">
        <f t="shared" si="2"/>
        <v>NO</v>
      </c>
      <c r="J35" s="7" t="str">
        <f t="shared" si="3"/>
        <v>YES</v>
      </c>
    </row>
    <row r="36" spans="1:10" ht="15" thickBot="1" x14ac:dyDescent="0.35">
      <c r="A36" s="6">
        <v>35</v>
      </c>
      <c r="B36" s="7" t="s">
        <v>7</v>
      </c>
      <c r="C36" s="7">
        <v>64000</v>
      </c>
      <c r="D36" s="7">
        <v>25</v>
      </c>
      <c r="E36" s="7">
        <v>11</v>
      </c>
      <c r="F36" s="7">
        <v>5</v>
      </c>
      <c r="G36" s="7" t="str">
        <f t="shared" si="0"/>
        <v>SENIOR</v>
      </c>
      <c r="H36" s="7" t="str">
        <f t="shared" si="1"/>
        <v>AVG</v>
      </c>
      <c r="I36" s="7" t="str">
        <f t="shared" si="2"/>
        <v>NO</v>
      </c>
      <c r="J36" s="7" t="str">
        <f t="shared" si="3"/>
        <v>NO</v>
      </c>
    </row>
    <row r="37" spans="1:10" ht="15" thickBot="1" x14ac:dyDescent="0.35">
      <c r="A37" s="6">
        <v>36</v>
      </c>
      <c r="B37" s="7" t="s">
        <v>8</v>
      </c>
      <c r="C37" s="7">
        <v>46000</v>
      </c>
      <c r="D37" s="7">
        <v>36</v>
      </c>
      <c r="E37" s="7">
        <v>17</v>
      </c>
      <c r="F37" s="7">
        <v>8</v>
      </c>
      <c r="G37" s="7" t="str">
        <f t="shared" si="0"/>
        <v>SENIOR</v>
      </c>
      <c r="H37" s="7" t="str">
        <f t="shared" si="1"/>
        <v>BEST</v>
      </c>
      <c r="I37" s="7" t="str">
        <f t="shared" si="2"/>
        <v>YES</v>
      </c>
      <c r="J37" s="7" t="str">
        <f t="shared" si="3"/>
        <v>NO</v>
      </c>
    </row>
    <row r="38" spans="1:10" ht="15" thickBot="1" x14ac:dyDescent="0.35">
      <c r="A38" s="6">
        <v>37</v>
      </c>
      <c r="B38" s="7" t="s">
        <v>9</v>
      </c>
      <c r="C38" s="7">
        <v>61000</v>
      </c>
      <c r="D38" s="7">
        <v>28</v>
      </c>
      <c r="E38" s="7">
        <v>17</v>
      </c>
      <c r="F38" s="7">
        <v>4</v>
      </c>
      <c r="G38" s="7" t="str">
        <f t="shared" si="0"/>
        <v>SENIOR</v>
      </c>
      <c r="H38" s="7" t="str">
        <f t="shared" si="1"/>
        <v>AVG</v>
      </c>
      <c r="I38" s="7" t="str">
        <f t="shared" si="2"/>
        <v>NO</v>
      </c>
      <c r="J38" s="7" t="str">
        <f t="shared" si="3"/>
        <v>NO</v>
      </c>
    </row>
    <row r="39" spans="1:10" ht="15" thickBot="1" x14ac:dyDescent="0.35">
      <c r="A39" s="6">
        <v>38</v>
      </c>
      <c r="B39" s="7" t="s">
        <v>7</v>
      </c>
      <c r="C39" s="7">
        <v>36000</v>
      </c>
      <c r="D39" s="7">
        <v>21</v>
      </c>
      <c r="E39" s="7">
        <v>4</v>
      </c>
      <c r="F39" s="7">
        <v>1</v>
      </c>
      <c r="G39" s="7" t="str">
        <f t="shared" si="0"/>
        <v>JUNIOR</v>
      </c>
      <c r="H39" s="7" t="str">
        <f t="shared" si="1"/>
        <v>POOR</v>
      </c>
      <c r="I39" s="7" t="str">
        <f t="shared" si="2"/>
        <v>NO</v>
      </c>
      <c r="J39" s="7" t="str">
        <f t="shared" si="3"/>
        <v>NO</v>
      </c>
    </row>
    <row r="40" spans="1:10" ht="15" thickBot="1" x14ac:dyDescent="0.35">
      <c r="A40" s="6">
        <v>39</v>
      </c>
      <c r="B40" s="7" t="s">
        <v>7</v>
      </c>
      <c r="C40" s="7">
        <v>65000</v>
      </c>
      <c r="D40" s="7">
        <v>37</v>
      </c>
      <c r="E40" s="7">
        <v>18</v>
      </c>
      <c r="F40" s="7">
        <v>6</v>
      </c>
      <c r="G40" s="7" t="str">
        <f t="shared" si="0"/>
        <v>SENIOR</v>
      </c>
      <c r="H40" s="7" t="str">
        <f t="shared" si="1"/>
        <v>GOOD</v>
      </c>
      <c r="I40" s="7" t="str">
        <f t="shared" si="2"/>
        <v>NO</v>
      </c>
      <c r="J40" s="7" t="str">
        <f t="shared" si="3"/>
        <v>NO</v>
      </c>
    </row>
    <row r="41" spans="1:10" ht="15" thickBot="1" x14ac:dyDescent="0.35">
      <c r="A41" s="6">
        <v>40</v>
      </c>
      <c r="B41" s="7" t="s">
        <v>6</v>
      </c>
      <c r="C41" s="7">
        <v>86000</v>
      </c>
      <c r="D41" s="7">
        <v>55</v>
      </c>
      <c r="E41" s="7">
        <v>11</v>
      </c>
      <c r="F41" s="7">
        <v>10</v>
      </c>
      <c r="G41" s="7" t="str">
        <f t="shared" si="0"/>
        <v>SENIOR</v>
      </c>
      <c r="H41" s="7" t="str">
        <f t="shared" si="1"/>
        <v>BEST</v>
      </c>
      <c r="I41" s="7" t="str">
        <f t="shared" si="2"/>
        <v>YES</v>
      </c>
      <c r="J41" s="7" t="str">
        <f t="shared" si="3"/>
        <v>YES</v>
      </c>
    </row>
    <row r="42" spans="1:10" ht="15" thickBot="1" x14ac:dyDescent="0.35">
      <c r="A42" s="6">
        <v>41</v>
      </c>
      <c r="B42" s="7" t="s">
        <v>9</v>
      </c>
      <c r="C42" s="7">
        <v>49000</v>
      </c>
      <c r="D42" s="7">
        <v>47</v>
      </c>
      <c r="E42" s="7">
        <v>10</v>
      </c>
      <c r="F42" s="7">
        <v>4</v>
      </c>
      <c r="G42" s="7" t="str">
        <f t="shared" si="0"/>
        <v>JUNIOR</v>
      </c>
      <c r="H42" s="7" t="str">
        <f t="shared" si="1"/>
        <v>AVG</v>
      </c>
      <c r="I42" s="7" t="str">
        <f t="shared" si="2"/>
        <v>NO</v>
      </c>
      <c r="J42" s="7" t="str">
        <f t="shared" si="3"/>
        <v>YES</v>
      </c>
    </row>
    <row r="43" spans="1:10" ht="15" thickBot="1" x14ac:dyDescent="0.35">
      <c r="A43" s="6">
        <v>42</v>
      </c>
      <c r="B43" s="7" t="s">
        <v>7</v>
      </c>
      <c r="C43" s="7">
        <v>70000</v>
      </c>
      <c r="D43" s="7">
        <v>56</v>
      </c>
      <c r="E43" s="7">
        <v>13</v>
      </c>
      <c r="F43" s="7">
        <v>8</v>
      </c>
      <c r="G43" s="7" t="str">
        <f t="shared" si="0"/>
        <v>SENIOR</v>
      </c>
      <c r="H43" s="7" t="str">
        <f t="shared" si="1"/>
        <v>BEST</v>
      </c>
      <c r="I43" s="7" t="str">
        <f t="shared" si="2"/>
        <v>YES</v>
      </c>
      <c r="J43" s="7" t="str">
        <f t="shared" si="3"/>
        <v>YES</v>
      </c>
    </row>
    <row r="44" spans="1:10" ht="15" thickBot="1" x14ac:dyDescent="0.35">
      <c r="A44" s="6">
        <v>43</v>
      </c>
      <c r="B44" s="7" t="s">
        <v>6</v>
      </c>
      <c r="C44" s="7">
        <v>38000</v>
      </c>
      <c r="D44" s="7">
        <v>45</v>
      </c>
      <c r="E44" s="7">
        <v>14</v>
      </c>
      <c r="F44" s="7">
        <v>6</v>
      </c>
      <c r="G44" s="7" t="str">
        <f t="shared" si="0"/>
        <v>SENIOR</v>
      </c>
      <c r="H44" s="7" t="str">
        <f t="shared" si="1"/>
        <v>GOOD</v>
      </c>
      <c r="I44" s="7" t="str">
        <f t="shared" si="2"/>
        <v>NO</v>
      </c>
      <c r="J44" s="7" t="str">
        <f t="shared" si="3"/>
        <v>YES</v>
      </c>
    </row>
    <row r="45" spans="1:10" ht="15" thickBot="1" x14ac:dyDescent="0.35">
      <c r="A45" s="6">
        <v>44</v>
      </c>
      <c r="B45" s="7" t="s">
        <v>8</v>
      </c>
      <c r="C45" s="7">
        <v>73000</v>
      </c>
      <c r="D45" s="7">
        <v>23</v>
      </c>
      <c r="E45" s="7">
        <v>7</v>
      </c>
      <c r="F45" s="7">
        <v>6</v>
      </c>
      <c r="G45" s="7" t="str">
        <f t="shared" si="0"/>
        <v>JUNIOR</v>
      </c>
      <c r="H45" s="7" t="str">
        <f t="shared" si="1"/>
        <v>GOOD</v>
      </c>
      <c r="I45" s="7" t="str">
        <f t="shared" si="2"/>
        <v>NO</v>
      </c>
      <c r="J45" s="7" t="str">
        <f t="shared" si="3"/>
        <v>NO</v>
      </c>
    </row>
    <row r="46" spans="1:10" ht="15" thickBot="1" x14ac:dyDescent="0.35">
      <c r="A46" s="6">
        <v>45</v>
      </c>
      <c r="B46" s="7" t="s">
        <v>7</v>
      </c>
      <c r="C46" s="7">
        <v>47000</v>
      </c>
      <c r="D46" s="7">
        <v>59</v>
      </c>
      <c r="E46" s="7">
        <v>7</v>
      </c>
      <c r="F46" s="7">
        <v>9</v>
      </c>
      <c r="G46" s="7" t="str">
        <f t="shared" si="0"/>
        <v>JUNIOR</v>
      </c>
      <c r="H46" s="7" t="str">
        <f t="shared" si="1"/>
        <v>BEST</v>
      </c>
      <c r="I46" s="7" t="str">
        <f t="shared" si="2"/>
        <v>NO</v>
      </c>
      <c r="J46" s="7" t="str">
        <f t="shared" si="3"/>
        <v>YES</v>
      </c>
    </row>
    <row r="47" spans="1:10" ht="15" thickBot="1" x14ac:dyDescent="0.35">
      <c r="A47" s="6">
        <v>46</v>
      </c>
      <c r="B47" s="7" t="s">
        <v>8</v>
      </c>
      <c r="C47" s="7">
        <v>41000</v>
      </c>
      <c r="D47" s="7">
        <v>55</v>
      </c>
      <c r="E47" s="7">
        <v>8</v>
      </c>
      <c r="F47" s="7">
        <v>1</v>
      </c>
      <c r="G47" s="7" t="str">
        <f t="shared" si="0"/>
        <v>JUNIOR</v>
      </c>
      <c r="H47" s="7" t="str">
        <f t="shared" si="1"/>
        <v>POOR</v>
      </c>
      <c r="I47" s="7" t="str">
        <f t="shared" si="2"/>
        <v>NO</v>
      </c>
      <c r="J47" s="7" t="str">
        <f t="shared" si="3"/>
        <v>YES</v>
      </c>
    </row>
    <row r="48" spans="1:10" ht="15" thickBot="1" x14ac:dyDescent="0.35">
      <c r="A48" s="6">
        <v>47</v>
      </c>
      <c r="B48" s="7" t="s">
        <v>7</v>
      </c>
      <c r="C48" s="7">
        <v>65000</v>
      </c>
      <c r="D48" s="7">
        <v>50</v>
      </c>
      <c r="E48" s="7">
        <v>9</v>
      </c>
      <c r="F48" s="7">
        <v>9</v>
      </c>
      <c r="G48" s="7" t="str">
        <f t="shared" si="0"/>
        <v>JUNIOR</v>
      </c>
      <c r="H48" s="7" t="str">
        <f t="shared" si="1"/>
        <v>BEST</v>
      </c>
      <c r="I48" s="7" t="str">
        <f t="shared" si="2"/>
        <v>NO</v>
      </c>
      <c r="J48" s="7" t="str">
        <f t="shared" si="3"/>
        <v>YES</v>
      </c>
    </row>
    <row r="49" spans="1:10" ht="15" thickBot="1" x14ac:dyDescent="0.35">
      <c r="A49" s="6">
        <v>48</v>
      </c>
      <c r="B49" s="7" t="s">
        <v>7</v>
      </c>
      <c r="C49" s="7">
        <v>31000</v>
      </c>
      <c r="D49" s="7">
        <v>49</v>
      </c>
      <c r="E49" s="7">
        <v>14</v>
      </c>
      <c r="F49" s="7">
        <v>4</v>
      </c>
      <c r="G49" s="7" t="str">
        <f t="shared" si="0"/>
        <v>SENIOR</v>
      </c>
      <c r="H49" s="7" t="str">
        <f t="shared" si="1"/>
        <v>AVG</v>
      </c>
      <c r="I49" s="7" t="str">
        <f t="shared" si="2"/>
        <v>NO</v>
      </c>
      <c r="J49" s="7" t="str">
        <f t="shared" si="3"/>
        <v>YES</v>
      </c>
    </row>
    <row r="50" spans="1:10" ht="15" thickBot="1" x14ac:dyDescent="0.35">
      <c r="A50" s="6">
        <v>49</v>
      </c>
      <c r="B50" s="7" t="s">
        <v>9</v>
      </c>
      <c r="C50" s="7">
        <v>80000</v>
      </c>
      <c r="D50" s="7">
        <v>53</v>
      </c>
      <c r="E50" s="7">
        <v>8</v>
      </c>
      <c r="F50" s="7">
        <v>7</v>
      </c>
      <c r="G50" s="7" t="str">
        <f t="shared" si="0"/>
        <v>JUNIOR</v>
      </c>
      <c r="H50" s="7" t="str">
        <f t="shared" si="1"/>
        <v>GOOD</v>
      </c>
      <c r="I50" s="7" t="str">
        <f t="shared" si="2"/>
        <v>NO</v>
      </c>
      <c r="J50" s="7" t="str">
        <f t="shared" si="3"/>
        <v>YES</v>
      </c>
    </row>
    <row r="51" spans="1:10" ht="15" thickBot="1" x14ac:dyDescent="0.35">
      <c r="A51" s="6">
        <v>50</v>
      </c>
      <c r="B51" s="7" t="s">
        <v>7</v>
      </c>
      <c r="C51" s="7">
        <v>30000</v>
      </c>
      <c r="D51" s="7">
        <v>38</v>
      </c>
      <c r="E51" s="7">
        <v>17</v>
      </c>
      <c r="F51" s="7">
        <v>10</v>
      </c>
      <c r="G51" s="7" t="str">
        <f t="shared" si="0"/>
        <v>SENIOR</v>
      </c>
      <c r="H51" s="7" t="str">
        <f t="shared" si="1"/>
        <v>BEST</v>
      </c>
      <c r="I51" s="7" t="str">
        <f t="shared" si="2"/>
        <v>YES</v>
      </c>
      <c r="J51" s="7" t="str">
        <f t="shared" si="3"/>
        <v>NO</v>
      </c>
    </row>
    <row r="52" spans="1:10" ht="15" thickBot="1" x14ac:dyDescent="0.35">
      <c r="A52" s="6">
        <v>51</v>
      </c>
      <c r="B52" s="7" t="s">
        <v>6</v>
      </c>
      <c r="C52" s="7">
        <v>71000</v>
      </c>
      <c r="D52" s="7">
        <v>37</v>
      </c>
      <c r="E52" s="7">
        <v>16</v>
      </c>
      <c r="F52" s="7">
        <v>4</v>
      </c>
      <c r="G52" s="7" t="str">
        <f t="shared" si="0"/>
        <v>SENIOR</v>
      </c>
      <c r="H52" s="7" t="str">
        <f t="shared" si="1"/>
        <v>AVG</v>
      </c>
      <c r="I52" s="7" t="str">
        <f t="shared" si="2"/>
        <v>NO</v>
      </c>
      <c r="J52" s="7" t="str">
        <f t="shared" si="3"/>
        <v>NO</v>
      </c>
    </row>
    <row r="53" spans="1:10" ht="15" thickBot="1" x14ac:dyDescent="0.35">
      <c r="A53" s="6">
        <v>52</v>
      </c>
      <c r="B53" s="7" t="s">
        <v>8</v>
      </c>
      <c r="C53" s="7">
        <v>46000</v>
      </c>
      <c r="D53" s="7">
        <v>49</v>
      </c>
      <c r="E53" s="7">
        <v>9</v>
      </c>
      <c r="F53" s="7">
        <v>3</v>
      </c>
      <c r="G53" s="7" t="str">
        <f t="shared" si="0"/>
        <v>JUNIOR</v>
      </c>
      <c r="H53" s="7" t="str">
        <f t="shared" si="1"/>
        <v>POOR</v>
      </c>
      <c r="I53" s="7" t="str">
        <f t="shared" si="2"/>
        <v>NO</v>
      </c>
      <c r="J53" s="7" t="str">
        <f t="shared" si="3"/>
        <v>YES</v>
      </c>
    </row>
    <row r="54" spans="1:10" ht="15" thickBot="1" x14ac:dyDescent="0.35">
      <c r="A54" s="6">
        <v>53</v>
      </c>
      <c r="B54" s="7" t="s">
        <v>8</v>
      </c>
      <c r="C54" s="7">
        <v>74000</v>
      </c>
      <c r="D54" s="7">
        <v>40</v>
      </c>
      <c r="E54" s="7">
        <v>4</v>
      </c>
      <c r="F54" s="7">
        <v>8</v>
      </c>
      <c r="G54" s="7" t="str">
        <f t="shared" si="0"/>
        <v>JUNIOR</v>
      </c>
      <c r="H54" s="7" t="str">
        <f t="shared" si="1"/>
        <v>BEST</v>
      </c>
      <c r="I54" s="7" t="str">
        <f t="shared" si="2"/>
        <v>NO</v>
      </c>
      <c r="J54" s="7" t="str">
        <f t="shared" si="3"/>
        <v>NO</v>
      </c>
    </row>
    <row r="55" spans="1:10" ht="15" thickBot="1" x14ac:dyDescent="0.35">
      <c r="A55" s="6">
        <v>54</v>
      </c>
      <c r="B55" s="7" t="s">
        <v>8</v>
      </c>
      <c r="C55" s="7">
        <v>88000</v>
      </c>
      <c r="D55" s="7">
        <v>22</v>
      </c>
      <c r="E55" s="7">
        <v>7</v>
      </c>
      <c r="F55" s="7">
        <v>1</v>
      </c>
      <c r="G55" s="7" t="str">
        <f t="shared" si="0"/>
        <v>JUNIOR</v>
      </c>
      <c r="H55" s="7" t="str">
        <f t="shared" si="1"/>
        <v>POOR</v>
      </c>
      <c r="I55" s="7" t="str">
        <f t="shared" si="2"/>
        <v>NO</v>
      </c>
      <c r="J55" s="7" t="str">
        <f t="shared" si="3"/>
        <v>NO</v>
      </c>
    </row>
    <row r="56" spans="1:10" ht="15" thickBot="1" x14ac:dyDescent="0.35">
      <c r="A56" s="6">
        <v>55</v>
      </c>
      <c r="B56" s="7" t="s">
        <v>7</v>
      </c>
      <c r="C56" s="7">
        <v>45000</v>
      </c>
      <c r="D56" s="7">
        <v>25</v>
      </c>
      <c r="E56" s="7">
        <v>18</v>
      </c>
      <c r="F56" s="7">
        <v>4</v>
      </c>
      <c r="G56" s="7" t="str">
        <f t="shared" si="0"/>
        <v>SENIOR</v>
      </c>
      <c r="H56" s="7" t="str">
        <f t="shared" si="1"/>
        <v>AVG</v>
      </c>
      <c r="I56" s="7" t="str">
        <f t="shared" si="2"/>
        <v>NO</v>
      </c>
      <c r="J56" s="7" t="str">
        <f t="shared" si="3"/>
        <v>NO</v>
      </c>
    </row>
    <row r="57" spans="1:10" ht="15" thickBot="1" x14ac:dyDescent="0.35">
      <c r="A57" s="6">
        <v>56</v>
      </c>
      <c r="B57" s="7" t="s">
        <v>6</v>
      </c>
      <c r="C57" s="7">
        <v>65000</v>
      </c>
      <c r="D57" s="7">
        <v>57</v>
      </c>
      <c r="E57" s="7">
        <v>8</v>
      </c>
      <c r="F57" s="7">
        <v>1</v>
      </c>
      <c r="G57" s="7" t="str">
        <f t="shared" si="0"/>
        <v>JUNIOR</v>
      </c>
      <c r="H57" s="7" t="str">
        <f t="shared" si="1"/>
        <v>POOR</v>
      </c>
      <c r="I57" s="7" t="str">
        <f t="shared" si="2"/>
        <v>NO</v>
      </c>
      <c r="J57" s="7" t="str">
        <f t="shared" si="3"/>
        <v>YES</v>
      </c>
    </row>
    <row r="58" spans="1:10" ht="15" thickBot="1" x14ac:dyDescent="0.35">
      <c r="A58" s="6">
        <v>57</v>
      </c>
      <c r="B58" s="7" t="s">
        <v>7</v>
      </c>
      <c r="C58" s="7">
        <v>66000</v>
      </c>
      <c r="D58" s="7">
        <v>32</v>
      </c>
      <c r="E58" s="7">
        <v>3</v>
      </c>
      <c r="F58" s="7">
        <v>4</v>
      </c>
      <c r="G58" s="7" t="str">
        <f t="shared" si="0"/>
        <v>JUNIOR</v>
      </c>
      <c r="H58" s="7" t="str">
        <f t="shared" si="1"/>
        <v>AVG</v>
      </c>
      <c r="I58" s="7" t="str">
        <f t="shared" si="2"/>
        <v>NO</v>
      </c>
      <c r="J58" s="7" t="str">
        <f t="shared" si="3"/>
        <v>NO</v>
      </c>
    </row>
    <row r="59" spans="1:10" ht="15" thickBot="1" x14ac:dyDescent="0.35">
      <c r="A59" s="6">
        <v>58</v>
      </c>
      <c r="B59" s="7" t="s">
        <v>9</v>
      </c>
      <c r="C59" s="7">
        <v>64000</v>
      </c>
      <c r="D59" s="7">
        <v>22</v>
      </c>
      <c r="E59" s="7">
        <v>17</v>
      </c>
      <c r="F59" s="7">
        <v>7</v>
      </c>
      <c r="G59" s="7" t="str">
        <f t="shared" si="0"/>
        <v>SENIOR</v>
      </c>
      <c r="H59" s="7" t="str">
        <f t="shared" si="1"/>
        <v>GOOD</v>
      </c>
      <c r="I59" s="7" t="str">
        <f t="shared" si="2"/>
        <v>YES</v>
      </c>
      <c r="J59" s="7" t="str">
        <f t="shared" si="3"/>
        <v>NO</v>
      </c>
    </row>
    <row r="60" spans="1:10" ht="15" thickBot="1" x14ac:dyDescent="0.35">
      <c r="A60" s="6">
        <v>59</v>
      </c>
      <c r="B60" s="7" t="s">
        <v>6</v>
      </c>
      <c r="C60" s="7">
        <v>43000</v>
      </c>
      <c r="D60" s="7">
        <v>47</v>
      </c>
      <c r="E60" s="7">
        <v>19</v>
      </c>
      <c r="F60" s="7">
        <v>2</v>
      </c>
      <c r="G60" s="7" t="str">
        <f t="shared" si="0"/>
        <v>SENIOR</v>
      </c>
      <c r="H60" s="7" t="str">
        <f t="shared" si="1"/>
        <v>POOR</v>
      </c>
      <c r="I60" s="7" t="str">
        <f t="shared" si="2"/>
        <v>NO</v>
      </c>
      <c r="J60" s="7" t="str">
        <f t="shared" si="3"/>
        <v>YES</v>
      </c>
    </row>
    <row r="61" spans="1:10" ht="15" thickBot="1" x14ac:dyDescent="0.35">
      <c r="A61" s="6">
        <v>60</v>
      </c>
      <c r="B61" s="7" t="s">
        <v>7</v>
      </c>
      <c r="C61" s="7">
        <v>87000</v>
      </c>
      <c r="D61" s="7">
        <v>41</v>
      </c>
      <c r="E61" s="7">
        <v>14</v>
      </c>
      <c r="F61" s="7">
        <v>10</v>
      </c>
      <c r="G61" s="7" t="str">
        <f t="shared" si="0"/>
        <v>SENIOR</v>
      </c>
      <c r="H61" s="7" t="str">
        <f t="shared" si="1"/>
        <v>BEST</v>
      </c>
      <c r="I61" s="7" t="str">
        <f t="shared" si="2"/>
        <v>YES</v>
      </c>
      <c r="J61" s="7" t="str">
        <f t="shared" si="3"/>
        <v>NO</v>
      </c>
    </row>
    <row r="62" spans="1:10" ht="15" thickBot="1" x14ac:dyDescent="0.35">
      <c r="A62" s="6">
        <v>61</v>
      </c>
      <c r="B62" s="7" t="s">
        <v>7</v>
      </c>
      <c r="C62" s="7">
        <v>57000</v>
      </c>
      <c r="D62" s="7">
        <v>59</v>
      </c>
      <c r="E62" s="7">
        <v>5</v>
      </c>
      <c r="F62" s="7">
        <v>3</v>
      </c>
      <c r="G62" s="7" t="str">
        <f t="shared" si="0"/>
        <v>JUNIOR</v>
      </c>
      <c r="H62" s="7" t="str">
        <f t="shared" si="1"/>
        <v>POOR</v>
      </c>
      <c r="I62" s="7" t="str">
        <f t="shared" si="2"/>
        <v>NO</v>
      </c>
      <c r="J62" s="7" t="str">
        <f t="shared" si="3"/>
        <v>YES</v>
      </c>
    </row>
    <row r="63" spans="1:10" ht="15" thickBot="1" x14ac:dyDescent="0.35">
      <c r="A63" s="6">
        <v>62</v>
      </c>
      <c r="B63" s="7" t="s">
        <v>9</v>
      </c>
      <c r="C63" s="7">
        <v>81000</v>
      </c>
      <c r="D63" s="7">
        <v>59</v>
      </c>
      <c r="E63" s="7">
        <v>5</v>
      </c>
      <c r="F63" s="7">
        <v>10</v>
      </c>
      <c r="G63" s="7" t="str">
        <f t="shared" si="0"/>
        <v>JUNIOR</v>
      </c>
      <c r="H63" s="7" t="str">
        <f t="shared" si="1"/>
        <v>BEST</v>
      </c>
      <c r="I63" s="7" t="str">
        <f t="shared" si="2"/>
        <v>NO</v>
      </c>
      <c r="J63" s="7" t="str">
        <f t="shared" si="3"/>
        <v>YES</v>
      </c>
    </row>
    <row r="64" spans="1:10" ht="15" thickBot="1" x14ac:dyDescent="0.35">
      <c r="A64" s="6">
        <v>63</v>
      </c>
      <c r="B64" s="7" t="s">
        <v>7</v>
      </c>
      <c r="C64" s="7">
        <v>72000</v>
      </c>
      <c r="D64" s="7">
        <v>31</v>
      </c>
      <c r="E64" s="7">
        <v>13</v>
      </c>
      <c r="F64" s="7">
        <v>5</v>
      </c>
      <c r="G64" s="7" t="str">
        <f t="shared" si="0"/>
        <v>SENIOR</v>
      </c>
      <c r="H64" s="7" t="str">
        <f t="shared" si="1"/>
        <v>AVG</v>
      </c>
      <c r="I64" s="7" t="str">
        <f t="shared" si="2"/>
        <v>NO</v>
      </c>
      <c r="J64" s="7" t="str">
        <f t="shared" si="3"/>
        <v>NO</v>
      </c>
    </row>
    <row r="65" spans="1:10" ht="15" thickBot="1" x14ac:dyDescent="0.35">
      <c r="A65" s="6">
        <v>64</v>
      </c>
      <c r="B65" s="7" t="s">
        <v>9</v>
      </c>
      <c r="C65" s="7">
        <v>48000</v>
      </c>
      <c r="D65" s="7">
        <v>42</v>
      </c>
      <c r="E65" s="7">
        <v>18</v>
      </c>
      <c r="F65" s="7">
        <v>10</v>
      </c>
      <c r="G65" s="7" t="str">
        <f t="shared" si="0"/>
        <v>SENIOR</v>
      </c>
      <c r="H65" s="7" t="str">
        <f t="shared" si="1"/>
        <v>BEST</v>
      </c>
      <c r="I65" s="7" t="str">
        <f t="shared" si="2"/>
        <v>YES</v>
      </c>
      <c r="J65" s="7" t="str">
        <f t="shared" si="3"/>
        <v>NO</v>
      </c>
    </row>
    <row r="66" spans="1:10" ht="15" thickBot="1" x14ac:dyDescent="0.35">
      <c r="A66" s="6">
        <v>65</v>
      </c>
      <c r="B66" s="7" t="s">
        <v>7</v>
      </c>
      <c r="C66" s="7">
        <v>79000</v>
      </c>
      <c r="D66" s="7">
        <v>50</v>
      </c>
      <c r="E66" s="7">
        <v>2</v>
      </c>
      <c r="F66" s="7">
        <v>2</v>
      </c>
      <c r="G66" s="7" t="str">
        <f t="shared" si="0"/>
        <v>JUNIOR</v>
      </c>
      <c r="H66" s="7" t="str">
        <f t="shared" si="1"/>
        <v>POOR</v>
      </c>
      <c r="I66" s="7" t="str">
        <f t="shared" si="2"/>
        <v>NO</v>
      </c>
      <c r="J66" s="7" t="str">
        <f t="shared" si="3"/>
        <v>YES</v>
      </c>
    </row>
    <row r="67" spans="1:10" ht="15" thickBot="1" x14ac:dyDescent="0.35">
      <c r="A67" s="6">
        <v>66</v>
      </c>
      <c r="B67" s="7" t="s">
        <v>6</v>
      </c>
      <c r="C67" s="7">
        <v>54000</v>
      </c>
      <c r="D67" s="7">
        <v>37</v>
      </c>
      <c r="E67" s="7">
        <v>6</v>
      </c>
      <c r="F67" s="7">
        <v>4</v>
      </c>
      <c r="G67" s="7" t="str">
        <f t="shared" ref="G67:G101" si="4">IF(E67&gt;10, "SENIOR", "JUNIOR")</f>
        <v>JUNIOR</v>
      </c>
      <c r="H67" s="7" t="str">
        <f t="shared" ref="H67:H101" si="5">IF(F67&gt;=8,"BEST", IF(F67&gt;=6, "GOOD", IF(F67&gt;=4, "AVG", "POOR")))</f>
        <v>AVG</v>
      </c>
      <c r="I67" s="7" t="str">
        <f t="shared" ref="I67:I101" si="6">IF(AND(F67&gt;=7,E67&gt;10),"YES","NO")</f>
        <v>NO</v>
      </c>
      <c r="J67" s="7" t="str">
        <f t="shared" ref="J67:J101" si="7">IF(OR(D67&gt;=45,E67&gt;=20),"YES","NO")</f>
        <v>NO</v>
      </c>
    </row>
    <row r="68" spans="1:10" ht="15" thickBot="1" x14ac:dyDescent="0.35">
      <c r="A68" s="6">
        <v>67</v>
      </c>
      <c r="B68" s="7" t="s">
        <v>9</v>
      </c>
      <c r="C68" s="7">
        <v>83000</v>
      </c>
      <c r="D68" s="7">
        <v>26</v>
      </c>
      <c r="E68" s="7">
        <v>2</v>
      </c>
      <c r="F68" s="7">
        <v>3</v>
      </c>
      <c r="G68" s="7" t="str">
        <f t="shared" si="4"/>
        <v>JUNIOR</v>
      </c>
      <c r="H68" s="7" t="str">
        <f t="shared" si="5"/>
        <v>POOR</v>
      </c>
      <c r="I68" s="7" t="str">
        <f t="shared" si="6"/>
        <v>NO</v>
      </c>
      <c r="J68" s="7" t="str">
        <f t="shared" si="7"/>
        <v>NO</v>
      </c>
    </row>
    <row r="69" spans="1:10" ht="15" thickBot="1" x14ac:dyDescent="0.35">
      <c r="A69" s="6">
        <v>68</v>
      </c>
      <c r="B69" s="7" t="s">
        <v>6</v>
      </c>
      <c r="C69" s="7">
        <v>65000</v>
      </c>
      <c r="D69" s="7">
        <v>27</v>
      </c>
      <c r="E69" s="7">
        <v>20</v>
      </c>
      <c r="F69" s="7">
        <v>5</v>
      </c>
      <c r="G69" s="7" t="str">
        <f t="shared" si="4"/>
        <v>SENIOR</v>
      </c>
      <c r="H69" s="7" t="str">
        <f t="shared" si="5"/>
        <v>AVG</v>
      </c>
      <c r="I69" s="7" t="str">
        <f t="shared" si="6"/>
        <v>NO</v>
      </c>
      <c r="J69" s="7" t="str">
        <f t="shared" si="7"/>
        <v>YES</v>
      </c>
    </row>
    <row r="70" spans="1:10" ht="15" thickBot="1" x14ac:dyDescent="0.35">
      <c r="A70" s="6">
        <v>69</v>
      </c>
      <c r="B70" s="7" t="s">
        <v>6</v>
      </c>
      <c r="C70" s="7">
        <v>83000</v>
      </c>
      <c r="D70" s="7">
        <v>38</v>
      </c>
      <c r="E70" s="7">
        <v>20</v>
      </c>
      <c r="F70" s="7">
        <v>10</v>
      </c>
      <c r="G70" s="7" t="str">
        <f t="shared" si="4"/>
        <v>SENIOR</v>
      </c>
      <c r="H70" s="7" t="str">
        <f t="shared" si="5"/>
        <v>BEST</v>
      </c>
      <c r="I70" s="7" t="str">
        <f t="shared" si="6"/>
        <v>YES</v>
      </c>
      <c r="J70" s="7" t="str">
        <f t="shared" si="7"/>
        <v>YES</v>
      </c>
    </row>
    <row r="71" spans="1:10" ht="15" thickBot="1" x14ac:dyDescent="0.35">
      <c r="A71" s="6">
        <v>70</v>
      </c>
      <c r="B71" s="7" t="s">
        <v>6</v>
      </c>
      <c r="C71" s="7">
        <v>72000</v>
      </c>
      <c r="D71" s="7">
        <v>48</v>
      </c>
      <c r="E71" s="7">
        <v>8</v>
      </c>
      <c r="F71" s="7">
        <v>8</v>
      </c>
      <c r="G71" s="7" t="str">
        <f t="shared" si="4"/>
        <v>JUNIOR</v>
      </c>
      <c r="H71" s="7" t="str">
        <f t="shared" si="5"/>
        <v>BEST</v>
      </c>
      <c r="I71" s="7" t="str">
        <f t="shared" si="6"/>
        <v>NO</v>
      </c>
      <c r="J71" s="7" t="str">
        <f t="shared" si="7"/>
        <v>YES</v>
      </c>
    </row>
    <row r="72" spans="1:10" ht="15" thickBot="1" x14ac:dyDescent="0.35">
      <c r="A72" s="6">
        <v>71</v>
      </c>
      <c r="B72" s="7" t="s">
        <v>8</v>
      </c>
      <c r="C72" s="7">
        <v>74000</v>
      </c>
      <c r="D72" s="7">
        <v>39</v>
      </c>
      <c r="E72" s="7">
        <v>10</v>
      </c>
      <c r="F72" s="7">
        <v>5</v>
      </c>
      <c r="G72" s="7" t="str">
        <f t="shared" si="4"/>
        <v>JUNIOR</v>
      </c>
      <c r="H72" s="7" t="str">
        <f t="shared" si="5"/>
        <v>AVG</v>
      </c>
      <c r="I72" s="7" t="str">
        <f t="shared" si="6"/>
        <v>NO</v>
      </c>
      <c r="J72" s="7" t="str">
        <f t="shared" si="7"/>
        <v>NO</v>
      </c>
    </row>
    <row r="73" spans="1:10" ht="15" thickBot="1" x14ac:dyDescent="0.35">
      <c r="A73" s="6">
        <v>72</v>
      </c>
      <c r="B73" s="7" t="s">
        <v>8</v>
      </c>
      <c r="C73" s="7">
        <v>60000</v>
      </c>
      <c r="D73" s="7">
        <v>49</v>
      </c>
      <c r="E73" s="7">
        <v>18</v>
      </c>
      <c r="F73" s="7">
        <v>10</v>
      </c>
      <c r="G73" s="7" t="str">
        <f t="shared" si="4"/>
        <v>SENIOR</v>
      </c>
      <c r="H73" s="7" t="str">
        <f t="shared" si="5"/>
        <v>BEST</v>
      </c>
      <c r="I73" s="7" t="str">
        <f t="shared" si="6"/>
        <v>YES</v>
      </c>
      <c r="J73" s="7" t="str">
        <f t="shared" si="7"/>
        <v>YES</v>
      </c>
    </row>
    <row r="74" spans="1:10" ht="15" thickBot="1" x14ac:dyDescent="0.35">
      <c r="A74" s="6">
        <v>73</v>
      </c>
      <c r="B74" s="7" t="s">
        <v>9</v>
      </c>
      <c r="C74" s="7">
        <v>87000</v>
      </c>
      <c r="D74" s="7">
        <v>41</v>
      </c>
      <c r="E74" s="7">
        <v>10</v>
      </c>
      <c r="F74" s="7">
        <v>5</v>
      </c>
      <c r="G74" s="7" t="str">
        <f t="shared" si="4"/>
        <v>JUNIOR</v>
      </c>
      <c r="H74" s="7" t="str">
        <f t="shared" si="5"/>
        <v>AVG</v>
      </c>
      <c r="I74" s="7" t="str">
        <f t="shared" si="6"/>
        <v>NO</v>
      </c>
      <c r="J74" s="7" t="str">
        <f t="shared" si="7"/>
        <v>NO</v>
      </c>
    </row>
    <row r="75" spans="1:10" ht="15" thickBot="1" x14ac:dyDescent="0.35">
      <c r="A75" s="6">
        <v>74</v>
      </c>
      <c r="B75" s="7" t="s">
        <v>6</v>
      </c>
      <c r="C75" s="7">
        <v>69000</v>
      </c>
      <c r="D75" s="7">
        <v>29</v>
      </c>
      <c r="E75" s="7">
        <v>1</v>
      </c>
      <c r="F75" s="7">
        <v>2</v>
      </c>
      <c r="G75" s="7" t="str">
        <f t="shared" si="4"/>
        <v>JUNIOR</v>
      </c>
      <c r="H75" s="7" t="str">
        <f t="shared" si="5"/>
        <v>POOR</v>
      </c>
      <c r="I75" s="7" t="str">
        <f t="shared" si="6"/>
        <v>NO</v>
      </c>
      <c r="J75" s="7" t="str">
        <f t="shared" si="7"/>
        <v>NO</v>
      </c>
    </row>
    <row r="76" spans="1:10" ht="15" thickBot="1" x14ac:dyDescent="0.35">
      <c r="A76" s="6">
        <v>75</v>
      </c>
      <c r="B76" s="7" t="s">
        <v>6</v>
      </c>
      <c r="C76" s="7">
        <v>55000</v>
      </c>
      <c r="D76" s="7">
        <v>45</v>
      </c>
      <c r="E76" s="7">
        <v>20</v>
      </c>
      <c r="F76" s="7">
        <v>3</v>
      </c>
      <c r="G76" s="7" t="str">
        <f t="shared" si="4"/>
        <v>SENIOR</v>
      </c>
      <c r="H76" s="7" t="str">
        <f t="shared" si="5"/>
        <v>POOR</v>
      </c>
      <c r="I76" s="7" t="str">
        <f t="shared" si="6"/>
        <v>NO</v>
      </c>
      <c r="J76" s="7" t="str">
        <f t="shared" si="7"/>
        <v>YES</v>
      </c>
    </row>
    <row r="77" spans="1:10" ht="15" thickBot="1" x14ac:dyDescent="0.35">
      <c r="A77" s="6">
        <v>76</v>
      </c>
      <c r="B77" s="7" t="s">
        <v>8</v>
      </c>
      <c r="C77" s="7">
        <v>66000</v>
      </c>
      <c r="D77" s="7">
        <v>52</v>
      </c>
      <c r="E77" s="7">
        <v>5</v>
      </c>
      <c r="F77" s="7">
        <v>8</v>
      </c>
      <c r="G77" s="7" t="str">
        <f t="shared" si="4"/>
        <v>JUNIOR</v>
      </c>
      <c r="H77" s="7" t="str">
        <f t="shared" si="5"/>
        <v>BEST</v>
      </c>
      <c r="I77" s="7" t="str">
        <f t="shared" si="6"/>
        <v>NO</v>
      </c>
      <c r="J77" s="7" t="str">
        <f t="shared" si="7"/>
        <v>YES</v>
      </c>
    </row>
    <row r="78" spans="1:10" ht="15" thickBot="1" x14ac:dyDescent="0.35">
      <c r="A78" s="6">
        <v>77</v>
      </c>
      <c r="B78" s="7" t="s">
        <v>7</v>
      </c>
      <c r="C78" s="7">
        <v>31000</v>
      </c>
      <c r="D78" s="7">
        <v>47</v>
      </c>
      <c r="E78" s="7">
        <v>18</v>
      </c>
      <c r="F78" s="7">
        <v>3</v>
      </c>
      <c r="G78" s="7" t="str">
        <f t="shared" si="4"/>
        <v>SENIOR</v>
      </c>
      <c r="H78" s="7" t="str">
        <f t="shared" si="5"/>
        <v>POOR</v>
      </c>
      <c r="I78" s="7" t="str">
        <f t="shared" si="6"/>
        <v>NO</v>
      </c>
      <c r="J78" s="7" t="str">
        <f t="shared" si="7"/>
        <v>YES</v>
      </c>
    </row>
    <row r="79" spans="1:10" ht="15" thickBot="1" x14ac:dyDescent="0.35">
      <c r="A79" s="6">
        <v>78</v>
      </c>
      <c r="B79" s="7" t="s">
        <v>6</v>
      </c>
      <c r="C79" s="7">
        <v>48000</v>
      </c>
      <c r="D79" s="7">
        <v>29</v>
      </c>
      <c r="E79" s="7">
        <v>17</v>
      </c>
      <c r="F79" s="7">
        <v>4</v>
      </c>
      <c r="G79" s="7" t="str">
        <f t="shared" si="4"/>
        <v>SENIOR</v>
      </c>
      <c r="H79" s="7" t="str">
        <f t="shared" si="5"/>
        <v>AVG</v>
      </c>
      <c r="I79" s="7" t="str">
        <f t="shared" si="6"/>
        <v>NO</v>
      </c>
      <c r="J79" s="7" t="str">
        <f t="shared" si="7"/>
        <v>NO</v>
      </c>
    </row>
    <row r="80" spans="1:10" ht="15" thickBot="1" x14ac:dyDescent="0.35">
      <c r="A80" s="6">
        <v>79</v>
      </c>
      <c r="B80" s="7" t="s">
        <v>8</v>
      </c>
      <c r="C80" s="7">
        <v>70000</v>
      </c>
      <c r="D80" s="7">
        <v>48</v>
      </c>
      <c r="E80" s="7">
        <v>4</v>
      </c>
      <c r="F80" s="7">
        <v>10</v>
      </c>
      <c r="G80" s="7" t="str">
        <f t="shared" si="4"/>
        <v>JUNIOR</v>
      </c>
      <c r="H80" s="7" t="str">
        <f t="shared" si="5"/>
        <v>BEST</v>
      </c>
      <c r="I80" s="7" t="str">
        <f t="shared" si="6"/>
        <v>NO</v>
      </c>
      <c r="J80" s="7" t="str">
        <f t="shared" si="7"/>
        <v>YES</v>
      </c>
    </row>
    <row r="81" spans="1:10" ht="15" thickBot="1" x14ac:dyDescent="0.35">
      <c r="A81" s="6">
        <v>80</v>
      </c>
      <c r="B81" s="7" t="s">
        <v>9</v>
      </c>
      <c r="C81" s="7">
        <v>47000</v>
      </c>
      <c r="D81" s="7">
        <v>37</v>
      </c>
      <c r="E81" s="7">
        <v>11</v>
      </c>
      <c r="F81" s="7">
        <v>8</v>
      </c>
      <c r="G81" s="7" t="str">
        <f t="shared" si="4"/>
        <v>SENIOR</v>
      </c>
      <c r="H81" s="7" t="str">
        <f t="shared" si="5"/>
        <v>BEST</v>
      </c>
      <c r="I81" s="7" t="str">
        <f t="shared" si="6"/>
        <v>YES</v>
      </c>
      <c r="J81" s="7" t="str">
        <f t="shared" si="7"/>
        <v>NO</v>
      </c>
    </row>
    <row r="82" spans="1:10" ht="15" thickBot="1" x14ac:dyDescent="0.35">
      <c r="A82" s="6">
        <v>81</v>
      </c>
      <c r="B82" s="7" t="s">
        <v>9</v>
      </c>
      <c r="C82" s="7">
        <v>67000</v>
      </c>
      <c r="D82" s="7">
        <v>20</v>
      </c>
      <c r="E82" s="7">
        <v>2</v>
      </c>
      <c r="F82" s="7">
        <v>7</v>
      </c>
      <c r="G82" s="7" t="str">
        <f t="shared" si="4"/>
        <v>JUNIOR</v>
      </c>
      <c r="H82" s="7" t="str">
        <f t="shared" si="5"/>
        <v>GOOD</v>
      </c>
      <c r="I82" s="7" t="str">
        <f t="shared" si="6"/>
        <v>NO</v>
      </c>
      <c r="J82" s="7" t="str">
        <f t="shared" si="7"/>
        <v>NO</v>
      </c>
    </row>
    <row r="83" spans="1:10" ht="15" thickBot="1" x14ac:dyDescent="0.35">
      <c r="A83" s="6">
        <v>82</v>
      </c>
      <c r="B83" s="7" t="s">
        <v>7</v>
      </c>
      <c r="C83" s="7">
        <v>56000</v>
      </c>
      <c r="D83" s="7">
        <v>42</v>
      </c>
      <c r="E83" s="7">
        <v>5</v>
      </c>
      <c r="F83" s="7">
        <v>7</v>
      </c>
      <c r="G83" s="7" t="str">
        <f t="shared" si="4"/>
        <v>JUNIOR</v>
      </c>
      <c r="H83" s="7" t="str">
        <f t="shared" si="5"/>
        <v>GOOD</v>
      </c>
      <c r="I83" s="7" t="str">
        <f t="shared" si="6"/>
        <v>NO</v>
      </c>
      <c r="J83" s="7" t="str">
        <f t="shared" si="7"/>
        <v>NO</v>
      </c>
    </row>
    <row r="84" spans="1:10" ht="15" thickBot="1" x14ac:dyDescent="0.35">
      <c r="A84" s="6">
        <v>83</v>
      </c>
      <c r="B84" s="7" t="s">
        <v>6</v>
      </c>
      <c r="C84" s="7">
        <v>38000</v>
      </c>
      <c r="D84" s="7">
        <v>36</v>
      </c>
      <c r="E84" s="7">
        <v>5</v>
      </c>
      <c r="F84" s="7">
        <v>3</v>
      </c>
      <c r="G84" s="7" t="str">
        <f t="shared" si="4"/>
        <v>JUNIOR</v>
      </c>
      <c r="H84" s="7" t="str">
        <f t="shared" si="5"/>
        <v>POOR</v>
      </c>
      <c r="I84" s="7" t="str">
        <f t="shared" si="6"/>
        <v>NO</v>
      </c>
      <c r="J84" s="7" t="str">
        <f t="shared" si="7"/>
        <v>NO</v>
      </c>
    </row>
    <row r="85" spans="1:10" ht="15" thickBot="1" x14ac:dyDescent="0.35">
      <c r="A85" s="6">
        <v>84</v>
      </c>
      <c r="B85" s="7" t="s">
        <v>8</v>
      </c>
      <c r="C85" s="7">
        <v>48000</v>
      </c>
      <c r="D85" s="7">
        <v>56</v>
      </c>
      <c r="E85" s="7">
        <v>17</v>
      </c>
      <c r="F85" s="7">
        <v>4</v>
      </c>
      <c r="G85" s="7" t="str">
        <f t="shared" si="4"/>
        <v>SENIOR</v>
      </c>
      <c r="H85" s="7" t="str">
        <f t="shared" si="5"/>
        <v>AVG</v>
      </c>
      <c r="I85" s="7" t="str">
        <f t="shared" si="6"/>
        <v>NO</v>
      </c>
      <c r="J85" s="7" t="str">
        <f t="shared" si="7"/>
        <v>YES</v>
      </c>
    </row>
    <row r="86" spans="1:10" ht="15" thickBot="1" x14ac:dyDescent="0.35">
      <c r="A86" s="6">
        <v>85</v>
      </c>
      <c r="B86" s="7" t="s">
        <v>8</v>
      </c>
      <c r="C86" s="7">
        <v>64000</v>
      </c>
      <c r="D86" s="7">
        <v>50</v>
      </c>
      <c r="E86" s="7">
        <v>17</v>
      </c>
      <c r="F86" s="7">
        <v>7</v>
      </c>
      <c r="G86" s="7" t="str">
        <f t="shared" si="4"/>
        <v>SENIOR</v>
      </c>
      <c r="H86" s="7" t="str">
        <f t="shared" si="5"/>
        <v>GOOD</v>
      </c>
      <c r="I86" s="7" t="str">
        <f t="shared" si="6"/>
        <v>YES</v>
      </c>
      <c r="J86" s="7" t="str">
        <f t="shared" si="7"/>
        <v>YES</v>
      </c>
    </row>
    <row r="87" spans="1:10" ht="15" thickBot="1" x14ac:dyDescent="0.35">
      <c r="A87" s="6">
        <v>86</v>
      </c>
      <c r="B87" s="7" t="s">
        <v>7</v>
      </c>
      <c r="C87" s="7">
        <v>65000</v>
      </c>
      <c r="D87" s="7">
        <v>44</v>
      </c>
      <c r="E87" s="7">
        <v>16</v>
      </c>
      <c r="F87" s="7">
        <v>1</v>
      </c>
      <c r="G87" s="7" t="str">
        <f t="shared" si="4"/>
        <v>SENIOR</v>
      </c>
      <c r="H87" s="7" t="str">
        <f t="shared" si="5"/>
        <v>POOR</v>
      </c>
      <c r="I87" s="7" t="str">
        <f t="shared" si="6"/>
        <v>NO</v>
      </c>
      <c r="J87" s="7" t="str">
        <f t="shared" si="7"/>
        <v>NO</v>
      </c>
    </row>
    <row r="88" spans="1:10" ht="15" thickBot="1" x14ac:dyDescent="0.35">
      <c r="A88" s="6">
        <v>87</v>
      </c>
      <c r="B88" s="7" t="s">
        <v>8</v>
      </c>
      <c r="C88" s="7">
        <v>64000</v>
      </c>
      <c r="D88" s="7">
        <v>23</v>
      </c>
      <c r="E88" s="7">
        <v>11</v>
      </c>
      <c r="F88" s="7">
        <v>9</v>
      </c>
      <c r="G88" s="7" t="str">
        <f t="shared" si="4"/>
        <v>SENIOR</v>
      </c>
      <c r="H88" s="7" t="str">
        <f t="shared" si="5"/>
        <v>BEST</v>
      </c>
      <c r="I88" s="7" t="str">
        <f t="shared" si="6"/>
        <v>YES</v>
      </c>
      <c r="J88" s="7" t="str">
        <f t="shared" si="7"/>
        <v>NO</v>
      </c>
    </row>
    <row r="89" spans="1:10" ht="15" thickBot="1" x14ac:dyDescent="0.35">
      <c r="A89" s="6">
        <v>88</v>
      </c>
      <c r="B89" s="7" t="s">
        <v>8</v>
      </c>
      <c r="C89" s="7">
        <v>69000</v>
      </c>
      <c r="D89" s="7">
        <v>28</v>
      </c>
      <c r="E89" s="7">
        <v>14</v>
      </c>
      <c r="F89" s="7">
        <v>1</v>
      </c>
      <c r="G89" s="7" t="str">
        <f t="shared" si="4"/>
        <v>SENIOR</v>
      </c>
      <c r="H89" s="7" t="str">
        <f t="shared" si="5"/>
        <v>POOR</v>
      </c>
      <c r="I89" s="7" t="str">
        <f t="shared" si="6"/>
        <v>NO</v>
      </c>
      <c r="J89" s="7" t="str">
        <f t="shared" si="7"/>
        <v>NO</v>
      </c>
    </row>
    <row r="90" spans="1:10" ht="15" thickBot="1" x14ac:dyDescent="0.35">
      <c r="A90" s="6">
        <v>89</v>
      </c>
      <c r="B90" s="7" t="s">
        <v>7</v>
      </c>
      <c r="C90" s="7">
        <v>69000</v>
      </c>
      <c r="D90" s="7">
        <v>47</v>
      </c>
      <c r="E90" s="7">
        <v>9</v>
      </c>
      <c r="F90" s="7">
        <v>8</v>
      </c>
      <c r="G90" s="7" t="str">
        <f t="shared" si="4"/>
        <v>JUNIOR</v>
      </c>
      <c r="H90" s="7" t="str">
        <f t="shared" si="5"/>
        <v>BEST</v>
      </c>
      <c r="I90" s="7" t="str">
        <f t="shared" si="6"/>
        <v>NO</v>
      </c>
      <c r="J90" s="7" t="str">
        <f t="shared" si="7"/>
        <v>YES</v>
      </c>
    </row>
    <row r="91" spans="1:10" ht="15" thickBot="1" x14ac:dyDescent="0.35">
      <c r="A91" s="6">
        <v>90</v>
      </c>
      <c r="B91" s="7" t="s">
        <v>9</v>
      </c>
      <c r="C91" s="7">
        <v>56000</v>
      </c>
      <c r="D91" s="7">
        <v>49</v>
      </c>
      <c r="E91" s="7">
        <v>12</v>
      </c>
      <c r="F91" s="7">
        <v>7</v>
      </c>
      <c r="G91" s="7" t="str">
        <f t="shared" si="4"/>
        <v>SENIOR</v>
      </c>
      <c r="H91" s="7" t="str">
        <f t="shared" si="5"/>
        <v>GOOD</v>
      </c>
      <c r="I91" s="7" t="str">
        <f t="shared" si="6"/>
        <v>YES</v>
      </c>
      <c r="J91" s="7" t="str">
        <f t="shared" si="7"/>
        <v>YES</v>
      </c>
    </row>
    <row r="92" spans="1:10" ht="15" thickBot="1" x14ac:dyDescent="0.35">
      <c r="A92" s="6">
        <v>91</v>
      </c>
      <c r="B92" s="7" t="s">
        <v>7</v>
      </c>
      <c r="C92" s="7">
        <v>84000</v>
      </c>
      <c r="D92" s="7">
        <v>43</v>
      </c>
      <c r="E92" s="7">
        <v>7</v>
      </c>
      <c r="F92" s="7">
        <v>6</v>
      </c>
      <c r="G92" s="7" t="str">
        <f t="shared" si="4"/>
        <v>JUNIOR</v>
      </c>
      <c r="H92" s="7" t="str">
        <f t="shared" si="5"/>
        <v>GOOD</v>
      </c>
      <c r="I92" s="7" t="str">
        <f t="shared" si="6"/>
        <v>NO</v>
      </c>
      <c r="J92" s="7" t="str">
        <f t="shared" si="7"/>
        <v>NO</v>
      </c>
    </row>
    <row r="93" spans="1:10" ht="15" thickBot="1" x14ac:dyDescent="0.35">
      <c r="A93" s="6">
        <v>92</v>
      </c>
      <c r="B93" s="7" t="s">
        <v>7</v>
      </c>
      <c r="C93" s="7">
        <v>52000</v>
      </c>
      <c r="D93" s="7">
        <v>52</v>
      </c>
      <c r="E93" s="7">
        <v>10</v>
      </c>
      <c r="F93" s="7">
        <v>10</v>
      </c>
      <c r="G93" s="7" t="str">
        <f t="shared" si="4"/>
        <v>JUNIOR</v>
      </c>
      <c r="H93" s="7" t="str">
        <f t="shared" si="5"/>
        <v>BEST</v>
      </c>
      <c r="I93" s="7" t="str">
        <f t="shared" si="6"/>
        <v>NO</v>
      </c>
      <c r="J93" s="7" t="str">
        <f t="shared" si="7"/>
        <v>YES</v>
      </c>
    </row>
    <row r="94" spans="1:10" ht="15" thickBot="1" x14ac:dyDescent="0.35">
      <c r="A94" s="6">
        <v>93</v>
      </c>
      <c r="B94" s="7" t="s">
        <v>9</v>
      </c>
      <c r="C94" s="7">
        <v>56000</v>
      </c>
      <c r="D94" s="7">
        <v>39</v>
      </c>
      <c r="E94" s="7">
        <v>16</v>
      </c>
      <c r="F94" s="7">
        <v>7</v>
      </c>
      <c r="G94" s="7" t="str">
        <f t="shared" si="4"/>
        <v>SENIOR</v>
      </c>
      <c r="H94" s="7" t="str">
        <f t="shared" si="5"/>
        <v>GOOD</v>
      </c>
      <c r="I94" s="7" t="str">
        <f t="shared" si="6"/>
        <v>YES</v>
      </c>
      <c r="J94" s="7" t="str">
        <f t="shared" si="7"/>
        <v>NO</v>
      </c>
    </row>
    <row r="95" spans="1:10" ht="15" thickBot="1" x14ac:dyDescent="0.35">
      <c r="A95" s="6">
        <v>94</v>
      </c>
      <c r="B95" s="7" t="s">
        <v>9</v>
      </c>
      <c r="C95" s="7">
        <v>84000</v>
      </c>
      <c r="D95" s="7">
        <v>28</v>
      </c>
      <c r="E95" s="7">
        <v>4</v>
      </c>
      <c r="F95" s="7">
        <v>6</v>
      </c>
      <c r="G95" s="7" t="str">
        <f t="shared" si="4"/>
        <v>JUNIOR</v>
      </c>
      <c r="H95" s="7" t="str">
        <f t="shared" si="5"/>
        <v>GOOD</v>
      </c>
      <c r="I95" s="7" t="str">
        <f t="shared" si="6"/>
        <v>NO</v>
      </c>
      <c r="J95" s="7" t="str">
        <f t="shared" si="7"/>
        <v>NO</v>
      </c>
    </row>
    <row r="96" spans="1:10" ht="15" thickBot="1" x14ac:dyDescent="0.35">
      <c r="A96" s="6">
        <v>95</v>
      </c>
      <c r="B96" s="7" t="s">
        <v>7</v>
      </c>
      <c r="C96" s="7">
        <v>78000</v>
      </c>
      <c r="D96" s="7">
        <v>27</v>
      </c>
      <c r="E96" s="7">
        <v>20</v>
      </c>
      <c r="F96" s="7">
        <v>3</v>
      </c>
      <c r="G96" s="7" t="str">
        <f t="shared" si="4"/>
        <v>SENIOR</v>
      </c>
      <c r="H96" s="7" t="str">
        <f t="shared" si="5"/>
        <v>POOR</v>
      </c>
      <c r="I96" s="7" t="str">
        <f t="shared" si="6"/>
        <v>NO</v>
      </c>
      <c r="J96" s="7" t="str">
        <f t="shared" si="7"/>
        <v>YES</v>
      </c>
    </row>
    <row r="97" spans="1:10" ht="15" thickBot="1" x14ac:dyDescent="0.35">
      <c r="A97" s="6">
        <v>96</v>
      </c>
      <c r="B97" s="7" t="s">
        <v>6</v>
      </c>
      <c r="C97" s="7">
        <v>72000</v>
      </c>
      <c r="D97" s="7">
        <v>43</v>
      </c>
      <c r="E97" s="7">
        <v>13</v>
      </c>
      <c r="F97" s="7">
        <v>8</v>
      </c>
      <c r="G97" s="7" t="str">
        <f t="shared" si="4"/>
        <v>SENIOR</v>
      </c>
      <c r="H97" s="7" t="str">
        <f t="shared" si="5"/>
        <v>BEST</v>
      </c>
      <c r="I97" s="7" t="str">
        <f t="shared" si="6"/>
        <v>YES</v>
      </c>
      <c r="J97" s="7" t="str">
        <f t="shared" si="7"/>
        <v>NO</v>
      </c>
    </row>
    <row r="98" spans="1:10" ht="15" thickBot="1" x14ac:dyDescent="0.35">
      <c r="A98" s="6">
        <v>97</v>
      </c>
      <c r="B98" s="7" t="s">
        <v>9</v>
      </c>
      <c r="C98" s="7">
        <v>36000</v>
      </c>
      <c r="D98" s="7">
        <v>33</v>
      </c>
      <c r="E98" s="7">
        <v>19</v>
      </c>
      <c r="F98" s="7">
        <v>2</v>
      </c>
      <c r="G98" s="7" t="str">
        <f t="shared" si="4"/>
        <v>SENIOR</v>
      </c>
      <c r="H98" s="7" t="str">
        <f t="shared" si="5"/>
        <v>POOR</v>
      </c>
      <c r="I98" s="7" t="str">
        <f t="shared" si="6"/>
        <v>NO</v>
      </c>
      <c r="J98" s="7" t="str">
        <f t="shared" si="7"/>
        <v>NO</v>
      </c>
    </row>
    <row r="99" spans="1:10" ht="15" thickBot="1" x14ac:dyDescent="0.35">
      <c r="A99" s="6">
        <v>98</v>
      </c>
      <c r="B99" s="7" t="s">
        <v>7</v>
      </c>
      <c r="C99" s="7">
        <v>85000</v>
      </c>
      <c r="D99" s="7">
        <v>37</v>
      </c>
      <c r="E99" s="7">
        <v>18</v>
      </c>
      <c r="F99" s="7">
        <v>10</v>
      </c>
      <c r="G99" s="7" t="str">
        <f t="shared" si="4"/>
        <v>SENIOR</v>
      </c>
      <c r="H99" s="7" t="str">
        <f t="shared" si="5"/>
        <v>BEST</v>
      </c>
      <c r="I99" s="7" t="str">
        <f t="shared" si="6"/>
        <v>YES</v>
      </c>
      <c r="J99" s="7" t="str">
        <f t="shared" si="7"/>
        <v>NO</v>
      </c>
    </row>
    <row r="100" spans="1:10" ht="15" thickBot="1" x14ac:dyDescent="0.35">
      <c r="A100" s="6">
        <v>99</v>
      </c>
      <c r="B100" s="7" t="s">
        <v>8</v>
      </c>
      <c r="C100" s="7">
        <v>73000</v>
      </c>
      <c r="D100" s="7">
        <v>20</v>
      </c>
      <c r="E100" s="7">
        <v>11</v>
      </c>
      <c r="F100" s="7">
        <v>3</v>
      </c>
      <c r="G100" s="7" t="str">
        <f t="shared" si="4"/>
        <v>SENIOR</v>
      </c>
      <c r="H100" s="7" t="str">
        <f t="shared" si="5"/>
        <v>POOR</v>
      </c>
      <c r="I100" s="7" t="str">
        <f t="shared" si="6"/>
        <v>NO</v>
      </c>
      <c r="J100" s="7" t="str">
        <f t="shared" si="7"/>
        <v>NO</v>
      </c>
    </row>
    <row r="101" spans="1:10" ht="15" thickBot="1" x14ac:dyDescent="0.35">
      <c r="A101" s="6">
        <v>100</v>
      </c>
      <c r="B101" s="7" t="s">
        <v>6</v>
      </c>
      <c r="C101" s="7">
        <v>90000</v>
      </c>
      <c r="D101" s="7">
        <v>31</v>
      </c>
      <c r="E101" s="7">
        <v>3</v>
      </c>
      <c r="F101" s="7">
        <v>3</v>
      </c>
      <c r="G101" s="7" t="str">
        <f t="shared" si="4"/>
        <v>JUNIOR</v>
      </c>
      <c r="H101" s="7" t="str">
        <f t="shared" si="5"/>
        <v>POOR</v>
      </c>
      <c r="I101" s="7" t="str">
        <f t="shared" si="6"/>
        <v>NO</v>
      </c>
      <c r="J101" s="7" t="str">
        <f t="shared" si="7"/>
        <v>NO</v>
      </c>
    </row>
  </sheetData>
  <mergeCells count="2">
    <mergeCell ref="P2:R2"/>
    <mergeCell ref="T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2025-09-10T16:34:35Z</dcterms:created>
  <dcterms:modified xsi:type="dcterms:W3CDTF">2025-09-10T17:43:24Z</dcterms:modified>
</cp:coreProperties>
</file>