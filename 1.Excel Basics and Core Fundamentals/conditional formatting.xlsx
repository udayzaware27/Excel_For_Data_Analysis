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13_ncr:1_{17CA84AE-55C7-4F02-A480-8D8BBE6E150F}" xr6:coauthVersionLast="47" xr6:coauthVersionMax="47" xr10:uidLastSave="{00000000-0000-0000-0000-000000000000}"/>
  <bookViews>
    <workbookView xWindow="-108" yWindow="-108" windowWidth="23256" windowHeight="12456" xr2:uid="{689EA959-E252-4727-B55B-7F7D5A4AF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O3" i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M3" i="1"/>
  <c r="M4" i="1"/>
  <c r="M5" i="1"/>
  <c r="M6" i="1"/>
  <c r="M7" i="1"/>
  <c r="M8" i="1"/>
  <c r="M9" i="1"/>
  <c r="M10" i="1"/>
  <c r="M11" i="1"/>
  <c r="P2" i="1"/>
  <c r="O2" i="1"/>
  <c r="N2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<sst xmlns="http://schemas.openxmlformats.org/spreadsheetml/2006/main" count="36" uniqueCount="28">
  <si>
    <t>StudentID</t>
  </si>
  <si>
    <t>Student Name</t>
  </si>
  <si>
    <t>Contact Number</t>
  </si>
  <si>
    <t>Gender</t>
  </si>
  <si>
    <t>English</t>
  </si>
  <si>
    <t>Math</t>
  </si>
  <si>
    <t>Science</t>
  </si>
  <si>
    <t>Hindi</t>
  </si>
  <si>
    <t>CS</t>
  </si>
  <si>
    <t>History</t>
  </si>
  <si>
    <t>Total</t>
  </si>
  <si>
    <t>Avg</t>
  </si>
  <si>
    <t>Max</t>
  </si>
  <si>
    <t>Min</t>
  </si>
  <si>
    <t>Count</t>
  </si>
  <si>
    <t>Percentage</t>
  </si>
  <si>
    <t>Aditya Kumar</t>
  </si>
  <si>
    <t>Shailesh Dhumal</t>
  </si>
  <si>
    <t>Aarav Kumar</t>
  </si>
  <si>
    <t>Diya Gupta</t>
  </si>
  <si>
    <t>Aryan Rao</t>
  </si>
  <si>
    <t>Aditi Sharma</t>
  </si>
  <si>
    <t>Ishan Gupta</t>
  </si>
  <si>
    <t>Rani Ahuja</t>
  </si>
  <si>
    <t>Samay Raina</t>
  </si>
  <si>
    <t>Pranit More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</si>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</sst>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3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8" tint="0.39994506668294322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7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41F0-66B0-4E8C-ADC4-285D2C48C06D}">
  <dimension ref="A1:P13"/>
  <sheetViews>
    <sheetView tabSelected="1" zoomScale="140" zoomScaleNormal="140" workbookViewId="0">
      <selection activeCell="D16" sqref="D16"/>
    </sheetView>
  </sheetViews>
  <sheetFormatPr defaultRowHeight="14.4" x14ac:dyDescent="0.3"/>
  <cols>
    <col min="1" max="1" width="9.44140625" bestFit="1" customWidth="1"/>
    <col min="2" max="3" width="15" bestFit="1" customWidth="1"/>
    <col min="4" max="4" width="7.21875" bestFit="1" customWidth="1"/>
    <col min="5" max="5" width="8.21875" bestFit="1" customWidth="1"/>
    <col min="6" max="6" width="5.44140625" bestFit="1" customWidth="1"/>
    <col min="7" max="7" width="7.21875" bestFit="1" customWidth="1"/>
    <col min="8" max="8" width="5.33203125" bestFit="1" customWidth="1"/>
    <col min="9" max="9" width="4" bestFit="1" customWidth="1"/>
    <col min="10" max="10" width="6.88671875" bestFit="1" customWidth="1"/>
    <col min="11" max="11" width="5.21875" bestFit="1" customWidth="1"/>
    <col min="12" max="12" width="12.21875" bestFit="1" customWidth="1"/>
    <col min="13" max="13" width="4.5546875" bestFit="1" customWidth="1"/>
    <col min="14" max="14" width="5.109375" bestFit="1" customWidth="1"/>
    <col min="15" max="15" width="6.109375" bestFit="1" customWidth="1"/>
    <col min="16" max="16" width="10.33203125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s="1">
        <v>1</v>
      </c>
      <c r="B2" s="1" t="s">
        <v>16</v>
      </c>
      <c r="C2" s="1">
        <v>9632536547</v>
      </c>
      <c r="D2" s="1" t="s">
        <v>26</v>
      </c>
      <c r="E2" s="1">
        <v>10</v>
      </c>
      <c r="F2" s="1">
        <v>57</v>
      </c>
      <c r="G2" s="1">
        <v>51</v>
      </c>
      <c r="H2" s="1">
        <v>96</v>
      </c>
      <c r="I2" s="1">
        <v>22</v>
      </c>
      <c r="J2" s="1">
        <v>57</v>
      </c>
      <c r="K2" s="1">
        <f>SUM(E2:J2)</f>
        <v>293</v>
      </c>
      <c r="L2" s="1">
        <f>AVERAGE(E2:J2)</f>
        <v>48.833333333333336</v>
      </c>
      <c r="M2" s="1">
        <f>MAX(E2:J2)</f>
        <v>96</v>
      </c>
      <c r="N2" s="3">
        <f>MIN(E2:J2)</f>
        <v>10</v>
      </c>
      <c r="O2" s="1">
        <f>COUNT(E2:J2)</f>
        <v>6</v>
      </c>
      <c r="P2" s="1">
        <f>K2/600*100</f>
        <v>48.833333333333336</v>
      </c>
    </row>
    <row r="3" spans="1:16" x14ac:dyDescent="0.3">
      <c r="A3" s="1">
        <v>2</v>
      </c>
      <c r="B3" s="1" t="s">
        <v>17</v>
      </c>
      <c r="C3" s="1">
        <v>9632538968</v>
      </c>
      <c r="D3" s="1" t="s">
        <v>26</v>
      </c>
      <c r="E3" s="1">
        <v>30</v>
      </c>
      <c r="F3" s="1">
        <v>79</v>
      </c>
      <c r="G3" s="1">
        <v>100</v>
      </c>
      <c r="H3" s="1">
        <v>35</v>
      </c>
      <c r="I3" s="1">
        <v>41</v>
      </c>
      <c r="J3" s="1">
        <v>75</v>
      </c>
      <c r="K3" s="1">
        <f t="shared" ref="K3:K11" si="0">SUM(E3:J3)</f>
        <v>360</v>
      </c>
      <c r="L3" s="1">
        <f t="shared" ref="L3:L11" si="1">AVERAGE(E3:J3)</f>
        <v>60</v>
      </c>
      <c r="M3" s="1">
        <f t="shared" ref="M3:M11" si="2">MAX(E3:J3)</f>
        <v>100</v>
      </c>
      <c r="N3" s="3">
        <f t="shared" ref="N3:N11" si="3">MIN(E3:J3)</f>
        <v>30</v>
      </c>
      <c r="O3" s="1">
        <f t="shared" ref="O3:O11" si="4">COUNT(E3:J3)</f>
        <v>6</v>
      </c>
      <c r="P3" s="1">
        <f t="shared" ref="P3:P11" si="5">K3/600*100</f>
        <v>60</v>
      </c>
    </row>
    <row r="4" spans="1:16" x14ac:dyDescent="0.3">
      <c r="A4" s="1">
        <v>3</v>
      </c>
      <c r="B4" s="1" t="s">
        <v>18</v>
      </c>
      <c r="C4" s="1">
        <v>9638566547</v>
      </c>
      <c r="D4" s="1" t="s">
        <v>26</v>
      </c>
      <c r="E4" s="1">
        <v>11</v>
      </c>
      <c r="F4" s="1">
        <v>38</v>
      </c>
      <c r="G4" s="1">
        <v>33</v>
      </c>
      <c r="H4" s="1">
        <v>52</v>
      </c>
      <c r="I4" s="1">
        <v>5</v>
      </c>
      <c r="J4" s="1">
        <v>62</v>
      </c>
      <c r="K4" s="1">
        <f t="shared" si="0"/>
        <v>201</v>
      </c>
      <c r="L4" s="1">
        <f t="shared" si="1"/>
        <v>33.5</v>
      </c>
      <c r="M4" s="1">
        <f t="shared" si="2"/>
        <v>62</v>
      </c>
      <c r="N4" s="3">
        <f t="shared" si="3"/>
        <v>5</v>
      </c>
      <c r="O4" s="1">
        <f t="shared" si="4"/>
        <v>6</v>
      </c>
      <c r="P4" s="1">
        <f t="shared" si="5"/>
        <v>33.5</v>
      </c>
    </row>
    <row r="5" spans="1:16" x14ac:dyDescent="0.3">
      <c r="A5" s="1">
        <v>4</v>
      </c>
      <c r="B5" s="1" t="s">
        <v>19</v>
      </c>
      <c r="C5" s="1">
        <v>7852536547</v>
      </c>
      <c r="D5" s="1" t="s">
        <v>27</v>
      </c>
      <c r="E5" s="1">
        <v>92</v>
      </c>
      <c r="F5" s="1">
        <v>87</v>
      </c>
      <c r="G5" s="1">
        <v>6</v>
      </c>
      <c r="H5" s="1">
        <v>80</v>
      </c>
      <c r="I5" s="1">
        <v>12</v>
      </c>
      <c r="J5" s="1">
        <v>81</v>
      </c>
      <c r="K5" s="1">
        <f t="shared" si="0"/>
        <v>358</v>
      </c>
      <c r="L5" s="1">
        <f t="shared" si="1"/>
        <v>59.666666666666664</v>
      </c>
      <c r="M5" s="1">
        <f t="shared" si="2"/>
        <v>92</v>
      </c>
      <c r="N5" s="3">
        <f t="shared" si="3"/>
        <v>6</v>
      </c>
      <c r="O5" s="1">
        <f t="shared" si="4"/>
        <v>6</v>
      </c>
      <c r="P5" s="1">
        <f t="shared" si="5"/>
        <v>59.666666666666671</v>
      </c>
    </row>
    <row r="6" spans="1:16" x14ac:dyDescent="0.3">
      <c r="A6" s="1">
        <v>5</v>
      </c>
      <c r="B6" s="1" t="s">
        <v>20</v>
      </c>
      <c r="C6" s="1">
        <v>9632537569</v>
      </c>
      <c r="D6" s="1" t="s">
        <v>26</v>
      </c>
      <c r="E6" s="1">
        <v>8</v>
      </c>
      <c r="F6" s="1">
        <v>92</v>
      </c>
      <c r="G6" s="1">
        <v>61</v>
      </c>
      <c r="H6" s="1">
        <v>71</v>
      </c>
      <c r="I6" s="1">
        <v>52</v>
      </c>
      <c r="J6" s="1">
        <v>91</v>
      </c>
      <c r="K6" s="1">
        <f t="shared" si="0"/>
        <v>375</v>
      </c>
      <c r="L6" s="1">
        <f t="shared" si="1"/>
        <v>62.5</v>
      </c>
      <c r="M6" s="1">
        <f t="shared" si="2"/>
        <v>92</v>
      </c>
      <c r="N6" s="3">
        <f t="shared" si="3"/>
        <v>8</v>
      </c>
      <c r="O6" s="1">
        <f t="shared" si="4"/>
        <v>6</v>
      </c>
      <c r="P6" s="1">
        <f t="shared" si="5"/>
        <v>62.5</v>
      </c>
    </row>
    <row r="7" spans="1:16" x14ac:dyDescent="0.3">
      <c r="A7" s="1">
        <v>6</v>
      </c>
      <c r="B7" s="1" t="s">
        <v>21</v>
      </c>
      <c r="C7" s="1">
        <v>9632556987</v>
      </c>
      <c r="D7" s="1" t="s">
        <v>27</v>
      </c>
      <c r="E7" s="1">
        <v>41</v>
      </c>
      <c r="F7" s="1">
        <v>81</v>
      </c>
      <c r="G7" s="1">
        <v>27</v>
      </c>
      <c r="H7" s="1">
        <v>69</v>
      </c>
      <c r="I7" s="1">
        <v>30</v>
      </c>
      <c r="J7" s="1">
        <v>29</v>
      </c>
      <c r="K7" s="1">
        <f t="shared" si="0"/>
        <v>277</v>
      </c>
      <c r="L7" s="1">
        <f t="shared" si="1"/>
        <v>46.166666666666664</v>
      </c>
      <c r="M7" s="1">
        <f t="shared" si="2"/>
        <v>81</v>
      </c>
      <c r="N7" s="3">
        <f t="shared" si="3"/>
        <v>27</v>
      </c>
      <c r="O7" s="1">
        <f t="shared" si="4"/>
        <v>6</v>
      </c>
      <c r="P7" s="1">
        <f t="shared" si="5"/>
        <v>46.166666666666664</v>
      </c>
    </row>
    <row r="8" spans="1:16" x14ac:dyDescent="0.3">
      <c r="A8" s="1">
        <v>7</v>
      </c>
      <c r="B8" s="1" t="s">
        <v>22</v>
      </c>
      <c r="C8" s="1">
        <v>8532536546</v>
      </c>
      <c r="D8" s="1" t="s">
        <v>26</v>
      </c>
      <c r="E8" s="1">
        <v>8</v>
      </c>
      <c r="F8" s="1">
        <v>9</v>
      </c>
      <c r="G8" s="1">
        <v>89</v>
      </c>
      <c r="H8" s="1">
        <v>45</v>
      </c>
      <c r="I8" s="1">
        <v>100</v>
      </c>
      <c r="J8" s="1">
        <v>96</v>
      </c>
      <c r="K8" s="1">
        <f t="shared" si="0"/>
        <v>347</v>
      </c>
      <c r="L8" s="1">
        <f t="shared" si="1"/>
        <v>57.833333333333336</v>
      </c>
      <c r="M8" s="1">
        <f t="shared" si="2"/>
        <v>100</v>
      </c>
      <c r="N8" s="3">
        <f t="shared" si="3"/>
        <v>8</v>
      </c>
      <c r="O8" s="1">
        <f t="shared" si="4"/>
        <v>6</v>
      </c>
      <c r="P8" s="1">
        <f t="shared" si="5"/>
        <v>57.833333333333336</v>
      </c>
    </row>
    <row r="9" spans="1:16" x14ac:dyDescent="0.3">
      <c r="A9" s="1">
        <v>8</v>
      </c>
      <c r="B9" s="1" t="s">
        <v>23</v>
      </c>
      <c r="C9" s="1">
        <v>9632536547</v>
      </c>
      <c r="D9" s="1" t="s">
        <v>27</v>
      </c>
      <c r="E9" s="1">
        <v>69</v>
      </c>
      <c r="F9" s="1">
        <v>36</v>
      </c>
      <c r="G9" s="1">
        <v>56</v>
      </c>
      <c r="H9" s="1">
        <v>64</v>
      </c>
      <c r="I9" s="1">
        <v>46</v>
      </c>
      <c r="J9" s="1">
        <v>9</v>
      </c>
      <c r="K9" s="1">
        <f t="shared" si="0"/>
        <v>280</v>
      </c>
      <c r="L9" s="1">
        <f t="shared" si="1"/>
        <v>46.666666666666664</v>
      </c>
      <c r="M9" s="1">
        <f t="shared" si="2"/>
        <v>69</v>
      </c>
      <c r="N9" s="3">
        <f t="shared" si="3"/>
        <v>9</v>
      </c>
      <c r="O9" s="1">
        <f t="shared" si="4"/>
        <v>6</v>
      </c>
      <c r="P9" s="1">
        <f t="shared" si="5"/>
        <v>46.666666666666664</v>
      </c>
    </row>
    <row r="10" spans="1:16" x14ac:dyDescent="0.3">
      <c r="A10" s="1">
        <v>9</v>
      </c>
      <c r="B10" s="1" t="s">
        <v>24</v>
      </c>
      <c r="C10" s="1">
        <v>9632596347</v>
      </c>
      <c r="D10" s="1" t="s">
        <v>26</v>
      </c>
      <c r="E10" s="1">
        <v>35</v>
      </c>
      <c r="F10" s="1">
        <v>100</v>
      </c>
      <c r="G10" s="1">
        <v>68</v>
      </c>
      <c r="H10" s="1">
        <v>27</v>
      </c>
      <c r="I10" s="1">
        <v>23</v>
      </c>
      <c r="J10" s="1">
        <v>86</v>
      </c>
      <c r="K10" s="1">
        <f t="shared" si="0"/>
        <v>339</v>
      </c>
      <c r="L10" s="1">
        <f t="shared" si="1"/>
        <v>56.5</v>
      </c>
      <c r="M10" s="1">
        <f t="shared" si="2"/>
        <v>100</v>
      </c>
      <c r="N10" s="3">
        <f t="shared" si="3"/>
        <v>23</v>
      </c>
      <c r="O10" s="1">
        <f t="shared" si="4"/>
        <v>6</v>
      </c>
      <c r="P10" s="1">
        <f t="shared" si="5"/>
        <v>56.499999999999993</v>
      </c>
    </row>
    <row r="11" spans="1:16" x14ac:dyDescent="0.3">
      <c r="A11" s="1">
        <v>10</v>
      </c>
      <c r="B11" s="1" t="s">
        <v>25</v>
      </c>
      <c r="C11" s="1">
        <v>7895689635</v>
      </c>
      <c r="D11" s="1" t="s">
        <v>26</v>
      </c>
      <c r="E11" s="1">
        <v>41</v>
      </c>
      <c r="F11" s="1">
        <v>28</v>
      </c>
      <c r="G11" s="1">
        <v>54</v>
      </c>
      <c r="H11" s="1">
        <v>51</v>
      </c>
      <c r="I11" s="1">
        <v>36</v>
      </c>
      <c r="J11" s="1">
        <v>90</v>
      </c>
      <c r="K11" s="1">
        <f t="shared" si="0"/>
        <v>300</v>
      </c>
      <c r="L11" s="1">
        <f t="shared" si="1"/>
        <v>50</v>
      </c>
      <c r="M11" s="1">
        <f t="shared" si="2"/>
        <v>90</v>
      </c>
      <c r="N11" s="3">
        <f t="shared" si="3"/>
        <v>28</v>
      </c>
      <c r="O11" s="1">
        <f t="shared" si="4"/>
        <v>6</v>
      </c>
      <c r="P11" s="1">
        <f t="shared" si="5"/>
        <v>50</v>
      </c>
    </row>
    <row r="13" spans="1:16" x14ac:dyDescent="0.3">
      <c r="K13" s="2"/>
    </row>
  </sheetData>
  <conditionalFormatting sqref="E2:J11">
    <cfRule type="cellIs" dxfId="8" priority="15" operator="lessThan">
      <formula>35</formula>
    </cfRule>
    <cfRule type="cellIs" dxfId="7" priority="14" operator="greaterThan">
      <formula>35</formula>
    </cfRule>
    <cfRule type="cellIs" dxfId="6" priority="13" operator="equal">
      <formula>35</formula>
    </cfRule>
  </conditionalFormatting>
  <conditionalFormatting sqref="K13">
    <cfRule type="cellIs" dxfId="5" priority="9" operator="between">
      <formula>200</formula>
      <formula>300</formula>
    </cfRule>
  </conditionalFormatting>
  <conditionalFormatting sqref="B2:B11">
    <cfRule type="containsText" dxfId="4" priority="8" operator="containsText" text="Gupta">
      <formula>NOT(ISERROR(SEARCH("Gupta",B2)))</formula>
    </cfRule>
  </conditionalFormatting>
  <conditionalFormatting sqref="C2:C11">
    <cfRule type="duplicateValues" dxfId="3" priority="7"/>
    <cfRule type="duplicateValues" dxfId="2" priority="6"/>
  </conditionalFormatting>
  <conditionalFormatting sqref="P2:P11">
    <cfRule type="top10" dxfId="1" priority="5" rank="1"/>
    <cfRule type="top10" dxfId="0" priority="4" bottom="1" rank="1"/>
  </conditionalFormatting>
  <conditionalFormatting sqref="K2:K11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{C1BFE138-8B49-49E1-961A-A447A6754901}</x14:id>
        </ext>
      </extLst>
    </cfRule>
  </conditionalFormatting>
  <conditionalFormatting sqref="L2:L11">
    <cfRule type="colorScale" priority="2">
      <colorScale>
        <cfvo type="min"/>
        <cfvo type="max"/>
        <color rgb="FFF8696B"/>
        <color rgb="FFFCFCFF"/>
      </colorScale>
    </cfRule>
  </conditionalFormatting>
  <conditionalFormatting sqref="N2:N11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BFE138-8B49-49E1-961A-A447A675490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K2:K11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2025-09-10T09:31:01Z</dcterms:created>
  <dcterms:modified xsi:type="dcterms:W3CDTF">2025-09-10T13:28:56Z</dcterms:modified>
</cp:coreProperties>
</file>