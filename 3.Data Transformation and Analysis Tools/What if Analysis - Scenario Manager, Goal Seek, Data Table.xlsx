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3\"/>
    </mc:Choice>
  </mc:AlternateContent>
  <xr:revisionPtr revIDLastSave="0" documentId="13_ncr:1_{DA388C2B-3850-4E8E-817B-31562ED34323}" xr6:coauthVersionLast="47" xr6:coauthVersionMax="47" xr10:uidLastSave="{00000000-0000-0000-0000-000000000000}"/>
  <bookViews>
    <workbookView xWindow="-108" yWindow="-108" windowWidth="23256" windowHeight="12456" activeTab="3" xr2:uid="{CE5D4709-DEC8-4112-B405-3699D5284BD4}"/>
  </bookViews>
  <sheets>
    <sheet name="Scenario Summary" sheetId="2" r:id="rId1"/>
    <sheet name="Scenario Manager" sheetId="1" r:id="rId2"/>
    <sheet name="Goal Seek" sheetId="3" r:id="rId3"/>
    <sheet name="Data Tab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D7" i="3"/>
  <c r="D3" i="1"/>
  <c r="D4" i="1"/>
  <c r="D5" i="1"/>
  <c r="D6" i="1"/>
  <c r="D2" i="1"/>
</calcChain>
</file>

<file path=xl/sharedStrings.xml><?xml version="1.0" encoding="utf-8"?>
<sst xmlns="http://schemas.openxmlformats.org/spreadsheetml/2006/main" count="37" uniqueCount="34">
  <si>
    <t>Product</t>
  </si>
  <si>
    <t>Rates</t>
  </si>
  <si>
    <t>Pro001</t>
  </si>
  <si>
    <t>Pro002</t>
  </si>
  <si>
    <t>Pro003</t>
  </si>
  <si>
    <t>Pro004</t>
  </si>
  <si>
    <t>Pro005</t>
  </si>
  <si>
    <t>$B$2</t>
  </si>
  <si>
    <t>$B$3</t>
  </si>
  <si>
    <t>$B$4</t>
  </si>
  <si>
    <t>$B$5</t>
  </si>
  <si>
    <t>$B$6</t>
  </si>
  <si>
    <t>$G$1</t>
  </si>
  <si>
    <t>Basic Rates</t>
  </si>
  <si>
    <t>Created by Uday Zaware on 14-09-2025</t>
  </si>
  <si>
    <t>Winder Rates</t>
  </si>
  <si>
    <t>Summer Rates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</si>
  <si>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</si>
  <si>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</si>
  <si>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</si>
  <si>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</si>
  <si>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</si>
  <si>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</si>
  <si>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</si>
  <si>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QTY</t>
  </si>
  <si>
    <t>Total</t>
  </si>
  <si>
    <t>Price</t>
  </si>
  <si>
    <t>Discount</t>
  </si>
  <si>
    <t>First Result</t>
  </si>
  <si>
    <t>After Goal Seek</t>
  </si>
  <si>
    <t>Loan</t>
  </si>
  <si>
    <t>Rate</t>
  </si>
  <si>
    <t>Months</t>
  </si>
  <si>
    <t>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</si>
</sst>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0" fillId="0" borderId="0" xfId="0" applyFill="1" applyBorder="1" applyAlignment="1"/>
    <xf numFmtId="0" fontId="0" fillId="0" borderId="4" xfId="0" applyFill="1" applyBorder="1" applyAlignment="1"/>
    <xf numFmtId="0" fontId="3" fillId="2" borderId="5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0" fillId="0" borderId="6" xfId="0" applyFill="1" applyBorder="1" applyAlignment="1"/>
    <xf numFmtId="0" fontId="4" fillId="3" borderId="0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right"/>
    </xf>
    <xf numFmtId="0" fontId="6" fillId="2" borderId="5" xfId="0" applyFont="1" applyFill="1" applyBorder="1" applyAlignment="1">
      <alignment horizontal="right"/>
    </xf>
    <xf numFmtId="0" fontId="0" fillId="4" borderId="0" xfId="0" applyFill="1" applyBorder="1" applyAlignment="1"/>
    <xf numFmtId="0" fontId="7" fillId="0" borderId="0" xfId="0" applyFont="1" applyFill="1" applyBorder="1" applyAlignment="1">
      <alignment vertical="top" wrapText="1"/>
    </xf>
    <xf numFmtId="9" fontId="1" fillId="0" borderId="2" xfId="0" applyNumberFormat="1" applyFont="1" applyBorder="1" applyAlignment="1">
      <alignment horizontal="right" wrapText="1"/>
    </xf>
    <xf numFmtId="10" fontId="1" fillId="0" borderId="2" xfId="0" applyNumberFormat="1" applyFont="1" applyBorder="1" applyAlignment="1">
      <alignment horizontal="right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horizontal="right" wrapText="1"/>
    </xf>
    <xf numFmtId="0" fontId="2" fillId="0" borderId="9" xfId="0" applyFont="1" applyBorder="1" applyAlignment="1">
      <alignment horizontal="right"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2" fillId="0" borderId="12" xfId="0" applyFont="1" applyBorder="1" applyAlignment="1">
      <alignment horizontal="right" wrapText="1"/>
    </xf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horizontal="right" wrapText="1"/>
    </xf>
    <xf numFmtId="8" fontId="2" fillId="0" borderId="2" xfId="0" applyNumberFormat="1" applyFont="1" applyBorder="1" applyAlignment="1">
      <alignment horizontal="right" wrapText="1"/>
    </xf>
    <xf numFmtId="2" fontId="1" fillId="0" borderId="9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58615</xdr:colOff>
      <xdr:row>6</xdr:row>
      <xdr:rowOff>58615</xdr:rowOff>
    </xdr:from>
    <xdr:to>
      <xdr:col>12</xdr:col>
      <xdr:colOff>297369</xdr:colOff>
      <xdr:row>14</xdr:row>
      <xdr:rowOff>167271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06B501-9654-BED1-7E12-E3AA71A6E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8323" y="422030"/>
          <a:ext cx="4505954" cy="1562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C70B-24DE-4B30-9D86-D812D015D154}">
  <sheetPr>
    <outlinePr summaryBelow="0"/>
  </sheetPr>
  <dimension ref="B1:G15"/>
  <sheetViews>
    <sheetView showGridLines="0" workbookViewId="0"/>
  </sheetViews>
  <sheetFormatPr defaultRowHeight="14.4" outlineLevelRow="1" outlineLevelCol="1" x14ac:dyDescent="0.3"/>
  <cols>
    <col min="3" max="3" width="5.218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8" t="s">
        <v>17</v>
      </c>
      <c r="C2" s="8"/>
      <c r="D2" s="13"/>
      <c r="E2" s="13"/>
      <c r="F2" s="13"/>
      <c r="G2" s="13"/>
    </row>
    <row r="3" spans="2:7" ht="15.6" collapsed="1" x14ac:dyDescent="0.3">
      <c r="B3" s="7"/>
      <c r="C3" s="7"/>
      <c r="D3" s="14" t="s">
        <v>19</v>
      </c>
      <c r="E3" s="14" t="s">
        <v>13</v>
      </c>
      <c r="F3" s="14" t="s">
        <v>15</v>
      </c>
      <c r="G3" s="14" t="s">
        <v>16</v>
      </c>
    </row>
    <row r="4" spans="2:7" ht="30.6" hidden="1" outlineLevel="1" x14ac:dyDescent="0.3">
      <c r="B4" s="10"/>
      <c r="C4" s="10"/>
      <c r="D4" s="5"/>
      <c r="E4" s="16" t="s">
        <v>14</v>
      </c>
      <c r="F4" s="16" t="s">
        <v>14</v>
      </c>
      <c r="G4" s="16" t="s">
        <v>14</v>
      </c>
    </row>
    <row r="5" spans="2:7" x14ac:dyDescent="0.3">
      <c r="B5" s="11" t="s">
        <v>18</v>
      </c>
      <c r="C5" s="11"/>
      <c r="D5" s="9"/>
      <c r="E5" s="9"/>
      <c r="F5" s="9"/>
      <c r="G5" s="9"/>
    </row>
    <row r="6" spans="2:7" outlineLevel="1" x14ac:dyDescent="0.3">
      <c r="B6" s="10"/>
      <c r="C6" s="10" t="s">
        <v>7</v>
      </c>
      <c r="D6" s="5">
        <v>750</v>
      </c>
      <c r="E6" s="15">
        <v>750</v>
      </c>
      <c r="F6" s="15">
        <v>780</v>
      </c>
      <c r="G6" s="15">
        <v>720</v>
      </c>
    </row>
    <row r="7" spans="2:7" outlineLevel="1" x14ac:dyDescent="0.3">
      <c r="B7" s="10"/>
      <c r="C7" s="10" t="s">
        <v>8</v>
      </c>
      <c r="D7" s="5">
        <v>650</v>
      </c>
      <c r="E7" s="15">
        <v>650</v>
      </c>
      <c r="F7" s="15">
        <v>600</v>
      </c>
      <c r="G7" s="15">
        <v>620</v>
      </c>
    </row>
    <row r="8" spans="2:7" outlineLevel="1" x14ac:dyDescent="0.3">
      <c r="B8" s="10"/>
      <c r="C8" s="10" t="s">
        <v>9</v>
      </c>
      <c r="D8" s="5">
        <v>250</v>
      </c>
      <c r="E8" s="15">
        <v>250</v>
      </c>
      <c r="F8" s="15">
        <v>280</v>
      </c>
      <c r="G8" s="15">
        <v>260</v>
      </c>
    </row>
    <row r="9" spans="2:7" outlineLevel="1" x14ac:dyDescent="0.3">
      <c r="B9" s="10"/>
      <c r="C9" s="10" t="s">
        <v>10</v>
      </c>
      <c r="D9" s="5">
        <v>600</v>
      </c>
      <c r="E9" s="15">
        <v>600</v>
      </c>
      <c r="F9" s="15">
        <v>500</v>
      </c>
      <c r="G9" s="15">
        <v>960</v>
      </c>
    </row>
    <row r="10" spans="2:7" outlineLevel="1" x14ac:dyDescent="0.3">
      <c r="B10" s="10"/>
      <c r="C10" s="10" t="s">
        <v>11</v>
      </c>
      <c r="D10" s="5">
        <v>725</v>
      </c>
      <c r="E10" s="15">
        <v>725</v>
      </c>
      <c r="F10" s="15">
        <v>700</v>
      </c>
      <c r="G10" s="15">
        <v>800</v>
      </c>
    </row>
    <row r="11" spans="2:7" x14ac:dyDescent="0.3">
      <c r="B11" s="11" t="s">
        <v>20</v>
      </c>
      <c r="C11" s="11"/>
      <c r="D11" s="9"/>
      <c r="E11" s="9"/>
      <c r="F11" s="9"/>
      <c r="G11" s="9"/>
    </row>
    <row r="12" spans="2:7" ht="15" outlineLevel="1" thickBot="1" x14ac:dyDescent="0.35">
      <c r="B12" s="12"/>
      <c r="C12" s="12" t="s">
        <v>12</v>
      </c>
      <c r="D12" s="6"/>
      <c r="E12" s="6"/>
      <c r="F12" s="6"/>
      <c r="G12" s="6"/>
    </row>
    <row r="13" spans="2:7" x14ac:dyDescent="0.3">
      <c r="B13" t="s">
        <v>21</v>
      </c>
    </row>
    <row r="14" spans="2:7" x14ac:dyDescent="0.3">
      <c r="B14" t="s">
        <v>22</v>
      </c>
    </row>
    <row r="15" spans="2:7" x14ac:dyDescent="0.3">
      <c r="B1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AB3E2-3479-4B3C-B71E-E4C88CDA1B08}">
  <dimension ref="A1:D6"/>
  <sheetViews>
    <sheetView zoomScale="189" zoomScaleNormal="189" workbookViewId="0">
      <selection activeCell="C5" sqref="C5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t="s">
        <v>24</v>
      </c>
      <c r="D1" t="s">
        <v>25</v>
      </c>
    </row>
    <row r="2" spans="1:4" x14ac:dyDescent="0.3">
      <c r="A2" s="3" t="s">
        <v>2</v>
      </c>
      <c r="B2" s="4">
        <v>750</v>
      </c>
      <c r="C2">
        <v>5</v>
      </c>
      <c r="D2">
        <f>B2*C2</f>
        <v>3750</v>
      </c>
    </row>
    <row r="3" spans="1:4" x14ac:dyDescent="0.3">
      <c r="A3" s="3" t="s">
        <v>3</v>
      </c>
      <c r="B3" s="4">
        <v>650</v>
      </c>
      <c r="C3">
        <v>1</v>
      </c>
      <c r="D3">
        <f t="shared" ref="D3:D6" si="0">B3*C3</f>
        <v>650</v>
      </c>
    </row>
    <row r="4" spans="1:4" x14ac:dyDescent="0.3">
      <c r="A4" s="3" t="s">
        <v>4</v>
      </c>
      <c r="B4" s="4">
        <v>250</v>
      </c>
      <c r="C4">
        <v>10</v>
      </c>
      <c r="D4">
        <f t="shared" si="0"/>
        <v>2500</v>
      </c>
    </row>
    <row r="5" spans="1:4" x14ac:dyDescent="0.3">
      <c r="A5" s="3" t="s">
        <v>5</v>
      </c>
      <c r="B5" s="4">
        <v>600</v>
      </c>
      <c r="C5">
        <v>0</v>
      </c>
      <c r="D5">
        <f t="shared" si="0"/>
        <v>0</v>
      </c>
    </row>
    <row r="6" spans="1:4" x14ac:dyDescent="0.3">
      <c r="A6" s="3" t="s">
        <v>6</v>
      </c>
      <c r="B6" s="4">
        <v>725</v>
      </c>
      <c r="C6">
        <v>4</v>
      </c>
      <c r="D6">
        <f t="shared" si="0"/>
        <v>2900</v>
      </c>
    </row>
  </sheetData>
  <scenarios current="1" show="0" sqref="G1">
    <scenario name="Basic Rates" locked="1" count="5" user="Uday Zaware" comment="Created by Uday Zaware on 14-09-2025">
      <inputCells r="B2" val="750"/>
      <inputCells r="B3" val="650"/>
      <inputCells r="B4" val="250"/>
      <inputCells r="B5" val="600"/>
      <inputCells r="B6" val="725"/>
    </scenario>
    <scenario name="Winder Rates" locked="1" count="5" user="Uday Zaware" comment="Created by Uday Zaware on 14-09-2025">
      <inputCells r="B2" val="780"/>
      <inputCells r="B3" val="600"/>
      <inputCells r="B4" val="280"/>
      <inputCells r="B5" val="500"/>
      <inputCells r="B6" val="700"/>
    </scenario>
    <scenario name="Summer Rates" locked="1" count="5" user="Uday Zaware" comment="Created by Uday Zaware on 14-09-2025">
      <inputCells r="B2" val="720"/>
      <inputCells r="B3" val="620"/>
      <inputCells r="B4" val="260"/>
      <inputCells r="B5" val="960"/>
      <inputCells r="B6" val="800"/>
    </scenario>
  </scenario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84F0-5E5A-4167-B68B-754AF1DBAB76}">
  <dimension ref="B4:I7"/>
  <sheetViews>
    <sheetView zoomScale="130" zoomScaleNormal="130" workbookViewId="0">
      <selection activeCell="H5" sqref="H5"/>
    </sheetView>
  </sheetViews>
  <sheetFormatPr defaultRowHeight="14.4" x14ac:dyDescent="0.3"/>
  <cols>
    <col min="3" max="3" width="10.77734375" customWidth="1"/>
    <col min="4" max="4" width="9.6640625" customWidth="1"/>
  </cols>
  <sheetData>
    <row r="4" spans="2:9" x14ac:dyDescent="0.3">
      <c r="B4" s="20" t="s">
        <v>29</v>
      </c>
      <c r="C4" s="20"/>
      <c r="D4" s="20"/>
    </row>
    <row r="6" spans="2:9" x14ac:dyDescent="0.3">
      <c r="B6" s="2" t="s">
        <v>26</v>
      </c>
      <c r="C6" s="2" t="s">
        <v>27</v>
      </c>
      <c r="D6" s="2" t="s">
        <v>25</v>
      </c>
      <c r="H6" s="19" t="s">
        <v>28</v>
      </c>
      <c r="I6" s="19"/>
    </row>
    <row r="7" spans="2:9" x14ac:dyDescent="0.3">
      <c r="B7" s="4">
        <v>7500</v>
      </c>
      <c r="C7" s="18">
        <v>0.17333333333333331</v>
      </c>
      <c r="D7" s="4">
        <f>B7-(B7*C7)</f>
        <v>6200</v>
      </c>
    </row>
  </sheetData>
  <mergeCells count="2">
    <mergeCell ref="H6:I6"/>
    <mergeCell ref="B4:D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D766-9508-494A-A226-854089E9C15F}">
  <dimension ref="C3:L13"/>
  <sheetViews>
    <sheetView tabSelected="1" zoomScale="115" zoomScaleNormal="115" workbookViewId="0">
      <selection activeCell="H22" sqref="H22"/>
    </sheetView>
  </sheetViews>
  <sheetFormatPr defaultRowHeight="14.4" x14ac:dyDescent="0.3"/>
  <cols>
    <col min="3" max="3" width="7.21875" bestFit="1" customWidth="1"/>
    <col min="4" max="4" width="12.109375" customWidth="1"/>
    <col min="5" max="12" width="14.109375" bestFit="1" customWidth="1"/>
  </cols>
  <sheetData>
    <row r="3" spans="3:12" ht="15" thickBot="1" x14ac:dyDescent="0.35"/>
    <row r="4" spans="3:12" ht="15" thickBot="1" x14ac:dyDescent="0.35">
      <c r="C4" s="2" t="s">
        <v>30</v>
      </c>
      <c r="D4" s="4">
        <v>500000</v>
      </c>
      <c r="E4" s="25"/>
      <c r="F4" s="1"/>
      <c r="G4" s="1"/>
      <c r="H4" s="1"/>
      <c r="I4" s="1"/>
      <c r="J4" s="1"/>
      <c r="K4" s="1"/>
      <c r="L4" s="1"/>
    </row>
    <row r="5" spans="3:12" ht="15" thickBot="1" x14ac:dyDescent="0.35">
      <c r="C5" s="2" t="s">
        <v>31</v>
      </c>
      <c r="D5" s="17">
        <v>0.09</v>
      </c>
      <c r="E5" s="25"/>
      <c r="F5" s="1"/>
      <c r="G5" s="1"/>
      <c r="H5" s="1"/>
      <c r="I5" s="1"/>
      <c r="J5" s="1"/>
      <c r="K5" s="1"/>
      <c r="L5" s="1"/>
    </row>
    <row r="6" spans="3:12" ht="15" thickBot="1" x14ac:dyDescent="0.35">
      <c r="C6" s="2" t="s">
        <v>32</v>
      </c>
      <c r="D6" s="4">
        <v>24</v>
      </c>
      <c r="E6" s="26"/>
      <c r="F6" s="21"/>
      <c r="G6" s="21"/>
      <c r="H6" s="21"/>
      <c r="I6" s="21"/>
      <c r="J6" s="21"/>
      <c r="K6" s="21"/>
      <c r="L6" s="21"/>
    </row>
    <row r="7" spans="3:12" ht="15" thickBot="1" x14ac:dyDescent="0.35">
      <c r="C7" s="2" t="s">
        <v>33</v>
      </c>
      <c r="D7" s="30">
        <f>PMT(D5/12,D6,-D4)</f>
        <v>22842.371139586547</v>
      </c>
      <c r="E7" s="27">
        <v>12</v>
      </c>
      <c r="F7" s="24">
        <v>24</v>
      </c>
      <c r="G7" s="24">
        <v>36</v>
      </c>
      <c r="H7" s="24">
        <v>48</v>
      </c>
      <c r="I7" s="24">
        <v>60</v>
      </c>
      <c r="J7" s="24">
        <v>72</v>
      </c>
      <c r="K7" s="24">
        <v>84</v>
      </c>
      <c r="L7" s="24">
        <v>96</v>
      </c>
    </row>
    <row r="8" spans="3:12" ht="15" thickBot="1" x14ac:dyDescent="0.35">
      <c r="C8" s="28"/>
      <c r="D8" s="29">
        <v>500000</v>
      </c>
      <c r="E8" s="31">
        <f t="dataTable" ref="E8:L13" dt2D="1" dtr="1" r1="D6" r2="D4"/>
        <v>43725.738384960714</v>
      </c>
      <c r="F8" s="31">
        <v>22842.371139586547</v>
      </c>
      <c r="G8" s="31">
        <v>15899.866329970342</v>
      </c>
      <c r="H8" s="31">
        <v>12442.521186967104</v>
      </c>
      <c r="I8" s="31">
        <v>10379.177613177004</v>
      </c>
      <c r="J8" s="31">
        <v>9012.768584135918</v>
      </c>
      <c r="K8" s="31">
        <v>8044.539130019275</v>
      </c>
      <c r="L8" s="31">
        <v>7325.1016368464834</v>
      </c>
    </row>
    <row r="9" spans="3:12" ht="15" thickBot="1" x14ac:dyDescent="0.35">
      <c r="C9" s="22"/>
      <c r="D9" s="23">
        <v>600000</v>
      </c>
      <c r="E9" s="31">
        <v>52470.886061952857</v>
      </c>
      <c r="F9" s="31">
        <v>27410.845367503858</v>
      </c>
      <c r="G9" s="31">
        <v>19079.839595964411</v>
      </c>
      <c r="H9" s="31">
        <v>14931.025424360525</v>
      </c>
      <c r="I9" s="31">
        <v>12455.013135812405</v>
      </c>
      <c r="J9" s="31">
        <v>10815.3223009631</v>
      </c>
      <c r="K9" s="31">
        <v>9653.44695602313</v>
      </c>
      <c r="L9" s="31">
        <v>8790.1219642157794</v>
      </c>
    </row>
    <row r="10" spans="3:12" ht="15" thickBot="1" x14ac:dyDescent="0.35">
      <c r="C10" s="22"/>
      <c r="D10" s="23">
        <v>700000</v>
      </c>
      <c r="E10" s="31">
        <v>61216.033738945</v>
      </c>
      <c r="F10" s="31">
        <v>31979.319595421162</v>
      </c>
      <c r="G10" s="31">
        <v>22259.812861958479</v>
      </c>
      <c r="H10" s="31">
        <v>17419.529661753946</v>
      </c>
      <c r="I10" s="31">
        <v>14530.848658447807</v>
      </c>
      <c r="J10" s="31">
        <v>12617.876017790282</v>
      </c>
      <c r="K10" s="31">
        <v>11262.354782026985</v>
      </c>
      <c r="L10" s="31">
        <v>10255.142291585076</v>
      </c>
    </row>
    <row r="11" spans="3:12" ht="15" thickBot="1" x14ac:dyDescent="0.35">
      <c r="C11" s="22"/>
      <c r="D11" s="23">
        <v>800000</v>
      </c>
      <c r="E11" s="31">
        <v>69961.181415937142</v>
      </c>
      <c r="F11" s="31">
        <v>36547.793823338478</v>
      </c>
      <c r="G11" s="31">
        <v>25439.78612795255</v>
      </c>
      <c r="H11" s="31">
        <v>19908.033899147369</v>
      </c>
      <c r="I11" s="31">
        <v>16606.684181083208</v>
      </c>
      <c r="J11" s="31">
        <v>14420.429734617466</v>
      </c>
      <c r="K11" s="31">
        <v>12871.262608030838</v>
      </c>
      <c r="L11" s="31">
        <v>11720.162618954373</v>
      </c>
    </row>
    <row r="12" spans="3:12" ht="15" thickBot="1" x14ac:dyDescent="0.35">
      <c r="C12" s="22"/>
      <c r="D12" s="23">
        <v>900000</v>
      </c>
      <c r="E12" s="31">
        <v>78706.329092929285</v>
      </c>
      <c r="F12" s="31">
        <v>41116.268051255778</v>
      </c>
      <c r="G12" s="31">
        <v>28619.759393946617</v>
      </c>
      <c r="H12" s="31">
        <v>22396.538136540788</v>
      </c>
      <c r="I12" s="31">
        <v>18682.519703718608</v>
      </c>
      <c r="J12" s="31">
        <v>16222.983451444648</v>
      </c>
      <c r="K12" s="31">
        <v>14480.170434034695</v>
      </c>
      <c r="L12" s="31">
        <v>13185.18294632367</v>
      </c>
    </row>
    <row r="13" spans="3:12" ht="15" thickBot="1" x14ac:dyDescent="0.35">
      <c r="C13" s="22"/>
      <c r="D13" s="23">
        <v>1000000</v>
      </c>
      <c r="E13" s="31">
        <v>87451.476769921428</v>
      </c>
      <c r="F13" s="31">
        <v>45684.742279173093</v>
      </c>
      <c r="G13" s="31">
        <v>31799.732659940684</v>
      </c>
      <c r="H13" s="31">
        <v>24885.042373934208</v>
      </c>
      <c r="I13" s="31">
        <v>20758.355226354008</v>
      </c>
      <c r="J13" s="31">
        <v>18025.537168271836</v>
      </c>
      <c r="K13" s="31">
        <v>16089.07826003855</v>
      </c>
      <c r="L13" s="31">
        <v>14650.203273692967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 Summary</vt:lpstr>
      <vt:lpstr>Scenario Manager</vt:lpstr>
      <vt:lpstr>Goal Seek</vt:lpstr>
      <vt:lpstr>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2025-09-14T14:03:24Z</dcterms:created>
  <dcterms:modified xsi:type="dcterms:W3CDTF">2025-09-14T14:34:43Z</dcterms:modified>
</cp:coreProperties>
</file>